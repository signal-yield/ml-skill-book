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データ" sheetId="1" state="visible" r:id="rId3"/>
    <sheet name="LINE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<sst xmlns="http://schemas.openxmlformats.org/spreadsheetml/2006/main" count="1173" uniqueCount="28">
  <si>
    <t xml:space="preserve">最寄駅</t>
  </si>
  <si>
    <t xml:space="preserve">徒歩分</t>
  </si>
  <si>
    <t xml:space="preserve">面積</t>
  </si>
  <si>
    <t xml:space="preserve">建築年</t>
  </si>
  <si>
    <t xml:space="preserve">取引年</t>
  </si>
  <si>
    <t xml:space="preserve">改装</t>
  </si>
  <si>
    <t xml:space="preserve">取引価格</t>
  </si>
  <si>
    <t xml:space="preserve">㎡単価の対数</t>
  </si>
  <si>
    <t xml:space="preserve">築年数</t>
  </si>
  <si>
    <t xml:space="preserve">池尻大橋</t>
  </si>
  <si>
    <t xml:space="preserve">三軒茶屋</t>
  </si>
  <si>
    <t xml:space="preserve">駒沢大学</t>
  </si>
  <si>
    <t xml:space="preserve">桜新町</t>
  </si>
  <si>
    <t xml:space="preserve">二子玉川</t>
  </si>
  <si>
    <t xml:space="preserve">2021</t>
  </si>
  <si>
    <t xml:space="preserve">2022</t>
  </si>
  <si>
    <t xml:space="preserve">2023</t>
  </si>
  <si>
    <t xml:space="preserve">2024</t>
  </si>
  <si>
    <t xml:space="preserve">改装済み</t>
  </si>
  <si>
    <t xml:space="preserve">未改装</t>
  </si>
  <si>
    <t xml:space="preserve">用賀</t>
  </si>
  <si>
    <r>
      <rPr>
        <sz val="11"/>
        <color theme="1"/>
        <rFont val="Calibri"/>
        <family val="2"/>
        <charset val="1"/>
      </rPr>
      <t xml:space="preserve">LINEST </t>
    </r>
    <r>
      <rPr>
        <sz val="11"/>
        <color theme="1"/>
        <rFont val="Noto Sans CJK SC"/>
        <family val="2"/>
      </rPr>
      <t xml:space="preserve">の結果（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行目が係数。左から、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、二子玉川、桜新町、駒沢大学、三軒茶屋、池尻大橋、改装、面積、築年数、徒歩分、切片の順）</t>
    </r>
  </si>
  <si>
    <t xml:space="preserve">説明変数</t>
  </si>
  <si>
    <r>
      <rPr>
        <sz val="11"/>
        <color theme="1"/>
        <rFont val="Calibri"/>
        <family val="2"/>
        <charset val="1"/>
      </rPr>
      <t xml:space="preserve">LINEST </t>
    </r>
    <r>
      <rPr>
        <sz val="11"/>
        <color theme="1"/>
        <rFont val="Noto Sans CJK SC"/>
        <family val="2"/>
      </rPr>
      <t xml:space="preserve">の係数</t>
    </r>
  </si>
  <si>
    <r>
      <rPr>
        <sz val="11"/>
        <color theme="1"/>
        <rFont val="Calibri"/>
        <family val="2"/>
        <charset val="1"/>
      </rPr>
      <t xml:space="preserve">Python</t>
    </r>
    <r>
      <rPr>
        <sz val="11"/>
        <color theme="1"/>
        <rFont val="Noto Sans CJK SC"/>
        <family val="2"/>
      </rPr>
      <t xml:space="preserve">（第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章）の係数</t>
    </r>
  </si>
  <si>
    <t xml:space="preserve">差</t>
  </si>
  <si>
    <t xml:space="preserve">切片</t>
  </si>
  <si>
    <r>
      <rPr>
        <sz val="11"/>
        <color theme="1"/>
        <rFont val="Noto Sans CJK SC"/>
        <family val="2"/>
      </rPr>
      <t xml:space="preserve">決定係数（</t>
    </r>
    <r>
      <rPr>
        <sz val="11"/>
        <color theme="1"/>
        <rFont val="Calibri"/>
        <family val="2"/>
        <charset val="1"/>
      </rPr>
      <t xml:space="preserve">R²</t>
    </r>
    <r>
      <rPr>
        <sz val="11"/>
        <color theme="1"/>
        <rFont val="Noto Sans CJK SC"/>
        <family val="2"/>
      </rPr>
      <t xml:space="preserve">）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</si>
</sst>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8</v>
      </c>
      <c r="K1" s="1" t="s">
        <v>2</v>
      </c>
      <c r="L1" s="1" t="s">
        <v>5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0" t="s">
        <v>14</v>
      </c>
      <c r="S1" s="0" t="s">
        <v>15</v>
      </c>
      <c r="T1" s="0" t="s">
        <v>16</v>
      </c>
      <c r="U1" s="0" t="s">
        <v>17</v>
      </c>
    </row>
    <row r="2" customFormat="false" ht="15" hidden="false" customHeight="false" outlineLevel="0" collapsed="false">
      <c r="A2" s="1" t="s">
        <v>9</v>
      </c>
      <c r="B2" s="0" t="n">
        <v>6</v>
      </c>
      <c r="C2" s="0" t="n">
        <v>55</v>
      </c>
      <c r="D2" s="0" t="n">
        <v>1976</v>
      </c>
      <c r="E2" s="0" t="n">
        <v>2025</v>
      </c>
      <c r="F2" s="1" t="s">
        <v>18</v>
      </c>
      <c r="G2" s="0" t="n">
        <v>71000000</v>
      </c>
      <c r="H2" s="0" t="n">
        <f aca="false">LN(G2/C2)</f>
        <v>14.0708572497731</v>
      </c>
      <c r="I2" s="0" t="n">
        <f aca="false">B2</f>
        <v>6</v>
      </c>
      <c r="J2" s="0" t="n">
        <f aca="false">E2-D2</f>
        <v>49</v>
      </c>
      <c r="K2" s="0" t="n">
        <f aca="false">C2</f>
        <v>55</v>
      </c>
      <c r="L2" s="0" t="n">
        <f aca="false">IF(F2="改装済み",1,0)</f>
        <v>1</v>
      </c>
      <c r="M2" s="0" t="n">
        <f aca="false">IF(A2="池尻大橋",1,0)</f>
        <v>1</v>
      </c>
      <c r="N2" s="0" t="n">
        <f aca="false">IF(A2="三軒茶屋",1,0)</f>
        <v>0</v>
      </c>
      <c r="O2" s="0" t="n">
        <f aca="false">IF(A2="駒沢大学",1,0)</f>
        <v>0</v>
      </c>
      <c r="P2" s="0" t="n">
        <f aca="false">IF(A2="桜新町",1,0)</f>
        <v>0</v>
      </c>
      <c r="Q2" s="0" t="n">
        <f aca="false">IF(A2="二子玉川",1,0)</f>
        <v>0</v>
      </c>
      <c r="R2" s="0" t="n">
        <f aca="false">IF(E2=2021,1,0)</f>
        <v>0</v>
      </c>
      <c r="S2" s="0" t="n">
        <f aca="false">IF(E2=2022,1,0)</f>
        <v>0</v>
      </c>
      <c r="T2" s="0" t="n">
        <f aca="false">IF(E2=2023,1,0)</f>
        <v>0</v>
      </c>
      <c r="U2" s="0" t="n">
        <f aca="false">IF(E2=2024,1,0)</f>
        <v>0</v>
      </c>
    </row>
    <row r="3" customFormat="false" ht="15" hidden="false" customHeight="false" outlineLevel="0" collapsed="false">
      <c r="A3" s="1" t="s">
        <v>9</v>
      </c>
      <c r="B3" s="0" t="n">
        <v>6</v>
      </c>
      <c r="C3" s="0" t="n">
        <v>55</v>
      </c>
      <c r="D3" s="0" t="n">
        <v>1996</v>
      </c>
      <c r="E3" s="0" t="n">
        <v>2025</v>
      </c>
      <c r="F3" s="1" t="s">
        <v>18</v>
      </c>
      <c r="G3" s="0" t="n">
        <v>90000000</v>
      </c>
      <c r="H3" s="0" t="n">
        <f aca="false">LN(G3/C3)</f>
        <v>14.3079870430621</v>
      </c>
      <c r="I3" s="0" t="n">
        <f aca="false">B3</f>
        <v>6</v>
      </c>
      <c r="J3" s="0" t="n">
        <f aca="false">E3-D3</f>
        <v>29</v>
      </c>
      <c r="K3" s="0" t="n">
        <f aca="false">C3</f>
        <v>55</v>
      </c>
      <c r="L3" s="0" t="n">
        <f aca="false">IF(F3="改装済み",1,0)</f>
        <v>1</v>
      </c>
      <c r="M3" s="0" t="n">
        <f aca="false">IF(A3="池尻大橋",1,0)</f>
        <v>1</v>
      </c>
      <c r="N3" s="0" t="n">
        <f aca="false">IF(A3="三軒茶屋",1,0)</f>
        <v>0</v>
      </c>
      <c r="O3" s="0" t="n">
        <f aca="false">IF(A3="駒沢大学",1,0)</f>
        <v>0</v>
      </c>
      <c r="P3" s="0" t="n">
        <f aca="false">IF(A3="桜新町",1,0)</f>
        <v>0</v>
      </c>
      <c r="Q3" s="0" t="n">
        <f aca="false">IF(A3="二子玉川",1,0)</f>
        <v>0</v>
      </c>
      <c r="R3" s="0" t="n">
        <f aca="false">IF(E3=2021,1,0)</f>
        <v>0</v>
      </c>
      <c r="S3" s="0" t="n">
        <f aca="false">IF(E3=2022,1,0)</f>
        <v>0</v>
      </c>
      <c r="T3" s="0" t="n">
        <f aca="false">IF(E3=2023,1,0)</f>
        <v>0</v>
      </c>
      <c r="U3" s="0" t="n">
        <f aca="false">IF(E3=2024,1,0)</f>
        <v>0</v>
      </c>
    </row>
    <row r="4" customFormat="false" ht="15" hidden="false" customHeight="false" outlineLevel="0" collapsed="false">
      <c r="A4" s="1" t="s">
        <v>9</v>
      </c>
      <c r="B4" s="0" t="n">
        <v>0</v>
      </c>
      <c r="C4" s="0" t="n">
        <v>65</v>
      </c>
      <c r="D4" s="0" t="n">
        <v>1969</v>
      </c>
      <c r="E4" s="0" t="n">
        <v>2025</v>
      </c>
      <c r="F4" s="1" t="s">
        <v>19</v>
      </c>
      <c r="G4" s="0" t="n">
        <v>60000000</v>
      </c>
      <c r="H4" s="0" t="n">
        <f aca="false">LN(G4/C4)</f>
        <v>13.7354678502907</v>
      </c>
      <c r="I4" s="0" t="n">
        <f aca="false">B4</f>
        <v>0</v>
      </c>
      <c r="J4" s="0" t="n">
        <f aca="false">E4-D4</f>
        <v>56</v>
      </c>
      <c r="K4" s="0" t="n">
        <f aca="false">C4</f>
        <v>65</v>
      </c>
      <c r="L4" s="0" t="n">
        <f aca="false">IF(F4="改装済み",1,0)</f>
        <v>0</v>
      </c>
      <c r="M4" s="0" t="n">
        <f aca="false">IF(A4="池尻大橋",1,0)</f>
        <v>1</v>
      </c>
      <c r="N4" s="0" t="n">
        <f aca="false">IF(A4="三軒茶屋",1,0)</f>
        <v>0</v>
      </c>
      <c r="O4" s="0" t="n">
        <f aca="false">IF(A4="駒沢大学",1,0)</f>
        <v>0</v>
      </c>
      <c r="P4" s="0" t="n">
        <f aca="false">IF(A4="桜新町",1,0)</f>
        <v>0</v>
      </c>
      <c r="Q4" s="0" t="n">
        <f aca="false">IF(A4="二子玉川",1,0)</f>
        <v>0</v>
      </c>
      <c r="R4" s="0" t="n">
        <f aca="false">IF(E4=2021,1,0)</f>
        <v>0</v>
      </c>
      <c r="S4" s="0" t="n">
        <f aca="false">IF(E4=2022,1,0)</f>
        <v>0</v>
      </c>
      <c r="T4" s="0" t="n">
        <f aca="false">IF(E4=2023,1,0)</f>
        <v>0</v>
      </c>
      <c r="U4" s="0" t="n">
        <f aca="false">IF(E4=2024,1,0)</f>
        <v>0</v>
      </c>
    </row>
    <row r="5" customFormat="false" ht="15" hidden="false" customHeight="false" outlineLevel="0" collapsed="false">
      <c r="A5" s="1" t="s">
        <v>9</v>
      </c>
      <c r="B5" s="0" t="n">
        <v>8</v>
      </c>
      <c r="C5" s="0" t="n">
        <v>60</v>
      </c>
      <c r="D5" s="0" t="n">
        <v>2008</v>
      </c>
      <c r="E5" s="0" t="n">
        <v>2025</v>
      </c>
      <c r="F5" s="1" t="s">
        <v>19</v>
      </c>
      <c r="G5" s="0" t="n">
        <v>120000000</v>
      </c>
      <c r="H5" s="0" t="n">
        <f aca="false">LN(G5/C5)</f>
        <v>14.5086577385242</v>
      </c>
      <c r="I5" s="0" t="n">
        <f aca="false">B5</f>
        <v>8</v>
      </c>
      <c r="J5" s="0" t="n">
        <f aca="false">E5-D5</f>
        <v>17</v>
      </c>
      <c r="K5" s="0" t="n">
        <f aca="false">C5</f>
        <v>60</v>
      </c>
      <c r="L5" s="0" t="n">
        <f aca="false">IF(F5="改装済み",1,0)</f>
        <v>0</v>
      </c>
      <c r="M5" s="0" t="n">
        <f aca="false">IF(A5="池尻大橋",1,0)</f>
        <v>1</v>
      </c>
      <c r="N5" s="0" t="n">
        <f aca="false">IF(A5="三軒茶屋",1,0)</f>
        <v>0</v>
      </c>
      <c r="O5" s="0" t="n">
        <f aca="false">IF(A5="駒沢大学",1,0)</f>
        <v>0</v>
      </c>
      <c r="P5" s="0" t="n">
        <f aca="false">IF(A5="桜新町",1,0)</f>
        <v>0</v>
      </c>
      <c r="Q5" s="0" t="n">
        <f aca="false">IF(A5="二子玉川",1,0)</f>
        <v>0</v>
      </c>
      <c r="R5" s="0" t="n">
        <f aca="false">IF(E5=2021,1,0)</f>
        <v>0</v>
      </c>
      <c r="S5" s="0" t="n">
        <f aca="false">IF(E5=2022,1,0)</f>
        <v>0</v>
      </c>
      <c r="T5" s="0" t="n">
        <f aca="false">IF(E5=2023,1,0)</f>
        <v>0</v>
      </c>
      <c r="U5" s="0" t="n">
        <f aca="false">IF(E5=2024,1,0)</f>
        <v>0</v>
      </c>
    </row>
    <row r="6" customFormat="false" ht="15" hidden="false" customHeight="false" outlineLevel="0" collapsed="false">
      <c r="A6" s="1" t="s">
        <v>9</v>
      </c>
      <c r="B6" s="0" t="n">
        <v>8</v>
      </c>
      <c r="C6" s="0" t="n">
        <v>70</v>
      </c>
      <c r="D6" s="0" t="n">
        <v>2012</v>
      </c>
      <c r="E6" s="0" t="n">
        <v>2025</v>
      </c>
      <c r="F6" s="1" t="s">
        <v>19</v>
      </c>
      <c r="G6" s="0" t="n">
        <v>120000000</v>
      </c>
      <c r="H6" s="0" t="n">
        <f aca="false">LN(G6/C6)</f>
        <v>14.354507058697</v>
      </c>
      <c r="I6" s="0" t="n">
        <f aca="false">B6</f>
        <v>8</v>
      </c>
      <c r="J6" s="0" t="n">
        <f aca="false">E6-D6</f>
        <v>13</v>
      </c>
      <c r="K6" s="0" t="n">
        <f aca="false">C6</f>
        <v>70</v>
      </c>
      <c r="L6" s="0" t="n">
        <f aca="false">IF(F6="改装済み",1,0)</f>
        <v>0</v>
      </c>
      <c r="M6" s="0" t="n">
        <f aca="false">IF(A6="池尻大橋",1,0)</f>
        <v>1</v>
      </c>
      <c r="N6" s="0" t="n">
        <f aca="false">IF(A6="三軒茶屋",1,0)</f>
        <v>0</v>
      </c>
      <c r="O6" s="0" t="n">
        <f aca="false">IF(A6="駒沢大学",1,0)</f>
        <v>0</v>
      </c>
      <c r="P6" s="0" t="n">
        <f aca="false">IF(A6="桜新町",1,0)</f>
        <v>0</v>
      </c>
      <c r="Q6" s="0" t="n">
        <f aca="false">IF(A6="二子玉川",1,0)</f>
        <v>0</v>
      </c>
      <c r="R6" s="0" t="n">
        <f aca="false">IF(E6=2021,1,0)</f>
        <v>0</v>
      </c>
      <c r="S6" s="0" t="n">
        <f aca="false">IF(E6=2022,1,0)</f>
        <v>0</v>
      </c>
      <c r="T6" s="0" t="n">
        <f aca="false">IF(E6=2023,1,0)</f>
        <v>0</v>
      </c>
      <c r="U6" s="0" t="n">
        <f aca="false">IF(E6=2024,1,0)</f>
        <v>0</v>
      </c>
    </row>
    <row r="7" customFormat="false" ht="15" hidden="false" customHeight="false" outlineLevel="0" collapsed="false">
      <c r="A7" s="1" t="s">
        <v>9</v>
      </c>
      <c r="B7" s="0" t="n">
        <v>11</v>
      </c>
      <c r="C7" s="0" t="n">
        <v>70</v>
      </c>
      <c r="D7" s="0" t="n">
        <v>2004</v>
      </c>
      <c r="E7" s="0" t="n">
        <v>2025</v>
      </c>
      <c r="F7" s="1" t="s">
        <v>18</v>
      </c>
      <c r="G7" s="0" t="n">
        <v>130000000</v>
      </c>
      <c r="H7" s="0" t="n">
        <f aca="false">LN(G7/C7)</f>
        <v>14.4345497663705</v>
      </c>
      <c r="I7" s="0" t="n">
        <f aca="false">B7</f>
        <v>11</v>
      </c>
      <c r="J7" s="0" t="n">
        <f aca="false">E7-D7</f>
        <v>21</v>
      </c>
      <c r="K7" s="0" t="n">
        <f aca="false">C7</f>
        <v>70</v>
      </c>
      <c r="L7" s="0" t="n">
        <f aca="false">IF(F7="改装済み",1,0)</f>
        <v>1</v>
      </c>
      <c r="M7" s="0" t="n">
        <f aca="false">IF(A7="池尻大橋",1,0)</f>
        <v>1</v>
      </c>
      <c r="N7" s="0" t="n">
        <f aca="false">IF(A7="三軒茶屋",1,0)</f>
        <v>0</v>
      </c>
      <c r="O7" s="0" t="n">
        <f aca="false">IF(A7="駒沢大学",1,0)</f>
        <v>0</v>
      </c>
      <c r="P7" s="0" t="n">
        <f aca="false">IF(A7="桜新町",1,0)</f>
        <v>0</v>
      </c>
      <c r="Q7" s="0" t="n">
        <f aca="false">IF(A7="二子玉川",1,0)</f>
        <v>0</v>
      </c>
      <c r="R7" s="0" t="n">
        <f aca="false">IF(E7=2021,1,0)</f>
        <v>0</v>
      </c>
      <c r="S7" s="0" t="n">
        <f aca="false">IF(E7=2022,1,0)</f>
        <v>0</v>
      </c>
      <c r="T7" s="0" t="n">
        <f aca="false">IF(E7=2023,1,0)</f>
        <v>0</v>
      </c>
      <c r="U7" s="0" t="n">
        <f aca="false">IF(E7=2024,1,0)</f>
        <v>0</v>
      </c>
    </row>
    <row r="8" customFormat="false" ht="15" hidden="false" customHeight="false" outlineLevel="0" collapsed="false">
      <c r="A8" s="1" t="s">
        <v>9</v>
      </c>
      <c r="B8" s="0" t="n">
        <v>8</v>
      </c>
      <c r="C8" s="0" t="n">
        <v>70</v>
      </c>
      <c r="D8" s="0" t="n">
        <v>2008</v>
      </c>
      <c r="E8" s="0" t="n">
        <v>2025</v>
      </c>
      <c r="F8" s="1" t="s">
        <v>19</v>
      </c>
      <c r="G8" s="0" t="n">
        <v>190000000</v>
      </c>
      <c r="H8" s="0" t="n">
        <f aca="false">LN(G8/C8)</f>
        <v>14.8140393880754</v>
      </c>
      <c r="I8" s="0" t="n">
        <f aca="false">B8</f>
        <v>8</v>
      </c>
      <c r="J8" s="0" t="n">
        <f aca="false">E8-D8</f>
        <v>17</v>
      </c>
      <c r="K8" s="0" t="n">
        <f aca="false">C8</f>
        <v>70</v>
      </c>
      <c r="L8" s="0" t="n">
        <f aca="false">IF(F8="改装済み",1,0)</f>
        <v>0</v>
      </c>
      <c r="M8" s="0" t="n">
        <f aca="false">IF(A8="池尻大橋",1,0)</f>
        <v>1</v>
      </c>
      <c r="N8" s="0" t="n">
        <f aca="false">IF(A8="三軒茶屋",1,0)</f>
        <v>0</v>
      </c>
      <c r="O8" s="0" t="n">
        <f aca="false">IF(A8="駒沢大学",1,0)</f>
        <v>0</v>
      </c>
      <c r="P8" s="0" t="n">
        <f aca="false">IF(A8="桜新町",1,0)</f>
        <v>0</v>
      </c>
      <c r="Q8" s="0" t="n">
        <f aca="false">IF(A8="二子玉川",1,0)</f>
        <v>0</v>
      </c>
      <c r="R8" s="0" t="n">
        <f aca="false">IF(E8=2021,1,0)</f>
        <v>0</v>
      </c>
      <c r="S8" s="0" t="n">
        <f aca="false">IF(E8=2022,1,0)</f>
        <v>0</v>
      </c>
      <c r="T8" s="0" t="n">
        <f aca="false">IF(E8=2023,1,0)</f>
        <v>0</v>
      </c>
      <c r="U8" s="0" t="n">
        <f aca="false">IF(E8=2024,1,0)</f>
        <v>0</v>
      </c>
    </row>
    <row r="9" customFormat="false" ht="15" hidden="false" customHeight="false" outlineLevel="0" collapsed="false">
      <c r="A9" s="1" t="s">
        <v>9</v>
      </c>
      <c r="B9" s="0" t="n">
        <v>8</v>
      </c>
      <c r="C9" s="0" t="n">
        <v>80</v>
      </c>
      <c r="D9" s="0" t="n">
        <v>2008</v>
      </c>
      <c r="E9" s="0" t="n">
        <v>2024</v>
      </c>
      <c r="F9" s="1" t="s">
        <v>18</v>
      </c>
      <c r="G9" s="0" t="n">
        <v>170000000</v>
      </c>
      <c r="H9" s="0" t="n">
        <f aca="false">LN(G9/C9)</f>
        <v>14.5692823603407</v>
      </c>
      <c r="I9" s="0" t="n">
        <f aca="false">B9</f>
        <v>8</v>
      </c>
      <c r="J9" s="0" t="n">
        <f aca="false">E9-D9</f>
        <v>16</v>
      </c>
      <c r="K9" s="0" t="n">
        <f aca="false">C9</f>
        <v>80</v>
      </c>
      <c r="L9" s="0" t="n">
        <f aca="false">IF(F9="改装済み",1,0)</f>
        <v>1</v>
      </c>
      <c r="M9" s="0" t="n">
        <f aca="false">IF(A9="池尻大橋",1,0)</f>
        <v>1</v>
      </c>
      <c r="N9" s="0" t="n">
        <f aca="false">IF(A9="三軒茶屋",1,0)</f>
        <v>0</v>
      </c>
      <c r="O9" s="0" t="n">
        <f aca="false">IF(A9="駒沢大学",1,0)</f>
        <v>0</v>
      </c>
      <c r="P9" s="0" t="n">
        <f aca="false">IF(A9="桜新町",1,0)</f>
        <v>0</v>
      </c>
      <c r="Q9" s="0" t="n">
        <f aca="false">IF(A9="二子玉川",1,0)</f>
        <v>0</v>
      </c>
      <c r="R9" s="0" t="n">
        <f aca="false">IF(E9=2021,1,0)</f>
        <v>0</v>
      </c>
      <c r="S9" s="0" t="n">
        <f aca="false">IF(E9=2022,1,0)</f>
        <v>0</v>
      </c>
      <c r="T9" s="0" t="n">
        <f aca="false">IF(E9=2023,1,0)</f>
        <v>0</v>
      </c>
      <c r="U9" s="0" t="n">
        <f aca="false">IF(E9=2024,1,0)</f>
        <v>1</v>
      </c>
    </row>
    <row r="10" customFormat="false" ht="15" hidden="false" customHeight="false" outlineLevel="0" collapsed="false">
      <c r="A10" s="1" t="s">
        <v>9</v>
      </c>
      <c r="B10" s="0" t="n">
        <v>5</v>
      </c>
      <c r="C10" s="0" t="n">
        <v>65</v>
      </c>
      <c r="D10" s="0" t="n">
        <v>2016</v>
      </c>
      <c r="E10" s="0" t="n">
        <v>2024</v>
      </c>
      <c r="F10" s="1" t="s">
        <v>19</v>
      </c>
      <c r="G10" s="0" t="n">
        <v>100000000</v>
      </c>
      <c r="H10" s="0" t="n">
        <f aca="false">LN(G10/C10)</f>
        <v>14.2462934740567</v>
      </c>
      <c r="I10" s="0" t="n">
        <f aca="false">B10</f>
        <v>5</v>
      </c>
      <c r="J10" s="0" t="n">
        <f aca="false">E10-D10</f>
        <v>8</v>
      </c>
      <c r="K10" s="0" t="n">
        <f aca="false">C10</f>
        <v>65</v>
      </c>
      <c r="L10" s="0" t="n">
        <f aca="false">IF(F10="改装済み",1,0)</f>
        <v>0</v>
      </c>
      <c r="M10" s="0" t="n">
        <f aca="false">IF(A10="池尻大橋",1,0)</f>
        <v>1</v>
      </c>
      <c r="N10" s="0" t="n">
        <f aca="false">IF(A10="三軒茶屋",1,0)</f>
        <v>0</v>
      </c>
      <c r="O10" s="0" t="n">
        <f aca="false">IF(A10="駒沢大学",1,0)</f>
        <v>0</v>
      </c>
      <c r="P10" s="0" t="n">
        <f aca="false">IF(A10="桜新町",1,0)</f>
        <v>0</v>
      </c>
      <c r="Q10" s="0" t="n">
        <f aca="false">IF(A10="二子玉川",1,0)</f>
        <v>0</v>
      </c>
      <c r="R10" s="0" t="n">
        <f aca="false">IF(E10=2021,1,0)</f>
        <v>0</v>
      </c>
      <c r="S10" s="0" t="n">
        <f aca="false">IF(E10=2022,1,0)</f>
        <v>0</v>
      </c>
      <c r="T10" s="0" t="n">
        <f aca="false">IF(E10=2023,1,0)</f>
        <v>0</v>
      </c>
      <c r="U10" s="0" t="n">
        <f aca="false">IF(E10=2024,1,0)</f>
        <v>1</v>
      </c>
    </row>
    <row r="11" customFormat="false" ht="15" hidden="false" customHeight="false" outlineLevel="0" collapsed="false">
      <c r="A11" s="1" t="s">
        <v>9</v>
      </c>
      <c r="B11" s="0" t="n">
        <v>11</v>
      </c>
      <c r="C11" s="0" t="n">
        <v>85</v>
      </c>
      <c r="D11" s="0" t="n">
        <v>1972</v>
      </c>
      <c r="E11" s="0" t="n">
        <v>2024</v>
      </c>
      <c r="F11" s="1" t="s">
        <v>18</v>
      </c>
      <c r="G11" s="0" t="n">
        <v>90000000</v>
      </c>
      <c r="H11" s="0" t="n">
        <f aca="false">LN(G11/C11)</f>
        <v>13.8726689718042</v>
      </c>
      <c r="I11" s="0" t="n">
        <f aca="false">B11</f>
        <v>11</v>
      </c>
      <c r="J11" s="0" t="n">
        <f aca="false">E11-D11</f>
        <v>52</v>
      </c>
      <c r="K11" s="0" t="n">
        <f aca="false">C11</f>
        <v>85</v>
      </c>
      <c r="L11" s="0" t="n">
        <f aca="false">IF(F11="改装済み",1,0)</f>
        <v>1</v>
      </c>
      <c r="M11" s="0" t="n">
        <f aca="false">IF(A11="池尻大橋",1,0)</f>
        <v>1</v>
      </c>
      <c r="N11" s="0" t="n">
        <f aca="false">IF(A11="三軒茶屋",1,0)</f>
        <v>0</v>
      </c>
      <c r="O11" s="0" t="n">
        <f aca="false">IF(A11="駒沢大学",1,0)</f>
        <v>0</v>
      </c>
      <c r="P11" s="0" t="n">
        <f aca="false">IF(A11="桜新町",1,0)</f>
        <v>0</v>
      </c>
      <c r="Q11" s="0" t="n">
        <f aca="false">IF(A11="二子玉川",1,0)</f>
        <v>0</v>
      </c>
      <c r="R11" s="0" t="n">
        <f aca="false">IF(E11=2021,1,0)</f>
        <v>0</v>
      </c>
      <c r="S11" s="0" t="n">
        <f aca="false">IF(E11=2022,1,0)</f>
        <v>0</v>
      </c>
      <c r="T11" s="0" t="n">
        <f aca="false">IF(E11=2023,1,0)</f>
        <v>0</v>
      </c>
      <c r="U11" s="0" t="n">
        <f aca="false">IF(E11=2024,1,0)</f>
        <v>1</v>
      </c>
    </row>
    <row r="12" customFormat="false" ht="15" hidden="false" customHeight="false" outlineLevel="0" collapsed="false">
      <c r="A12" s="1" t="s">
        <v>9</v>
      </c>
      <c r="B12" s="0" t="n">
        <v>10</v>
      </c>
      <c r="C12" s="0" t="n">
        <v>60</v>
      </c>
      <c r="D12" s="0" t="n">
        <v>2004</v>
      </c>
      <c r="E12" s="0" t="n">
        <v>2024</v>
      </c>
      <c r="F12" s="1" t="s">
        <v>19</v>
      </c>
      <c r="G12" s="0" t="n">
        <v>85000000</v>
      </c>
      <c r="H12" s="0" t="n">
        <f aca="false">LN(G12/C12)</f>
        <v>14.1638172522325</v>
      </c>
      <c r="I12" s="0" t="n">
        <f aca="false">B12</f>
        <v>10</v>
      </c>
      <c r="J12" s="0" t="n">
        <f aca="false">E12-D12</f>
        <v>20</v>
      </c>
      <c r="K12" s="0" t="n">
        <f aca="false">C12</f>
        <v>60</v>
      </c>
      <c r="L12" s="0" t="n">
        <f aca="false">IF(F12="改装済み",1,0)</f>
        <v>0</v>
      </c>
      <c r="M12" s="0" t="n">
        <f aca="false">IF(A12="池尻大橋",1,0)</f>
        <v>1</v>
      </c>
      <c r="N12" s="0" t="n">
        <f aca="false">IF(A12="三軒茶屋",1,0)</f>
        <v>0</v>
      </c>
      <c r="O12" s="0" t="n">
        <f aca="false">IF(A12="駒沢大学",1,0)</f>
        <v>0</v>
      </c>
      <c r="P12" s="0" t="n">
        <f aca="false">IF(A12="桜新町",1,0)</f>
        <v>0</v>
      </c>
      <c r="Q12" s="0" t="n">
        <f aca="false">IF(A12="二子玉川",1,0)</f>
        <v>0</v>
      </c>
      <c r="R12" s="0" t="n">
        <f aca="false">IF(E12=2021,1,0)</f>
        <v>0</v>
      </c>
      <c r="S12" s="0" t="n">
        <f aca="false">IF(E12=2022,1,0)</f>
        <v>0</v>
      </c>
      <c r="T12" s="0" t="n">
        <f aca="false">IF(E12=2023,1,0)</f>
        <v>0</v>
      </c>
      <c r="U12" s="0" t="n">
        <f aca="false">IF(E12=2024,1,0)</f>
        <v>1</v>
      </c>
    </row>
    <row r="13" customFormat="false" ht="15" hidden="false" customHeight="false" outlineLevel="0" collapsed="false">
      <c r="A13" s="1" t="s">
        <v>9</v>
      </c>
      <c r="B13" s="0" t="n">
        <v>5</v>
      </c>
      <c r="C13" s="0" t="n">
        <v>75</v>
      </c>
      <c r="D13" s="0" t="n">
        <v>1976</v>
      </c>
      <c r="E13" s="0" t="n">
        <v>2024</v>
      </c>
      <c r="F13" s="1" t="s">
        <v>18</v>
      </c>
      <c r="G13" s="0" t="n">
        <v>72000000</v>
      </c>
      <c r="H13" s="0" t="n">
        <f aca="false">LN(G13/C13)</f>
        <v>13.774688563444</v>
      </c>
      <c r="I13" s="0" t="n">
        <f aca="false">B13</f>
        <v>5</v>
      </c>
      <c r="J13" s="0" t="n">
        <f aca="false">E13-D13</f>
        <v>48</v>
      </c>
      <c r="K13" s="0" t="n">
        <f aca="false">C13</f>
        <v>75</v>
      </c>
      <c r="L13" s="0" t="n">
        <f aca="false">IF(F13="改装済み",1,0)</f>
        <v>1</v>
      </c>
      <c r="M13" s="0" t="n">
        <f aca="false">IF(A13="池尻大橋",1,0)</f>
        <v>1</v>
      </c>
      <c r="N13" s="0" t="n">
        <f aca="false">IF(A13="三軒茶屋",1,0)</f>
        <v>0</v>
      </c>
      <c r="O13" s="0" t="n">
        <f aca="false">IF(A13="駒沢大学",1,0)</f>
        <v>0</v>
      </c>
      <c r="P13" s="0" t="n">
        <f aca="false">IF(A13="桜新町",1,0)</f>
        <v>0</v>
      </c>
      <c r="Q13" s="0" t="n">
        <f aca="false">IF(A13="二子玉川",1,0)</f>
        <v>0</v>
      </c>
      <c r="R13" s="0" t="n">
        <f aca="false">IF(E13=2021,1,0)</f>
        <v>0</v>
      </c>
      <c r="S13" s="0" t="n">
        <f aca="false">IF(E13=2022,1,0)</f>
        <v>0</v>
      </c>
      <c r="T13" s="0" t="n">
        <f aca="false">IF(E13=2023,1,0)</f>
        <v>0</v>
      </c>
      <c r="U13" s="0" t="n">
        <f aca="false">IF(E13=2024,1,0)</f>
        <v>1</v>
      </c>
    </row>
    <row r="14" customFormat="false" ht="15" hidden="false" customHeight="false" outlineLevel="0" collapsed="false">
      <c r="A14" s="1" t="s">
        <v>9</v>
      </c>
      <c r="B14" s="0" t="n">
        <v>5</v>
      </c>
      <c r="C14" s="0" t="n">
        <v>55</v>
      </c>
      <c r="D14" s="0" t="n">
        <v>1976</v>
      </c>
      <c r="E14" s="0" t="n">
        <v>2024</v>
      </c>
      <c r="F14" s="1" t="s">
        <v>18</v>
      </c>
      <c r="G14" s="0" t="n">
        <v>68000000</v>
      </c>
      <c r="H14" s="0" t="n">
        <f aca="false">LN(G14/C14)</f>
        <v>14.0276850779079</v>
      </c>
      <c r="I14" s="0" t="n">
        <f aca="false">B14</f>
        <v>5</v>
      </c>
      <c r="J14" s="0" t="n">
        <f aca="false">E14-D14</f>
        <v>48</v>
      </c>
      <c r="K14" s="0" t="n">
        <f aca="false">C14</f>
        <v>55</v>
      </c>
      <c r="L14" s="0" t="n">
        <f aca="false">IF(F14="改装済み",1,0)</f>
        <v>1</v>
      </c>
      <c r="M14" s="0" t="n">
        <f aca="false">IF(A14="池尻大橋",1,0)</f>
        <v>1</v>
      </c>
      <c r="N14" s="0" t="n">
        <f aca="false">IF(A14="三軒茶屋",1,0)</f>
        <v>0</v>
      </c>
      <c r="O14" s="0" t="n">
        <f aca="false">IF(A14="駒沢大学",1,0)</f>
        <v>0</v>
      </c>
      <c r="P14" s="0" t="n">
        <f aca="false">IF(A14="桜新町",1,0)</f>
        <v>0</v>
      </c>
      <c r="Q14" s="0" t="n">
        <f aca="false">IF(A14="二子玉川",1,0)</f>
        <v>0</v>
      </c>
      <c r="R14" s="0" t="n">
        <f aca="false">IF(E14=2021,1,0)</f>
        <v>0</v>
      </c>
      <c r="S14" s="0" t="n">
        <f aca="false">IF(E14=2022,1,0)</f>
        <v>0</v>
      </c>
      <c r="T14" s="0" t="n">
        <f aca="false">IF(E14=2023,1,0)</f>
        <v>0</v>
      </c>
      <c r="U14" s="0" t="n">
        <f aca="false">IF(E14=2024,1,0)</f>
        <v>1</v>
      </c>
    </row>
    <row r="15" customFormat="false" ht="15" hidden="false" customHeight="false" outlineLevel="0" collapsed="false">
      <c r="A15" s="1" t="s">
        <v>9</v>
      </c>
      <c r="B15" s="0" t="n">
        <v>3</v>
      </c>
      <c r="C15" s="0" t="n">
        <v>50</v>
      </c>
      <c r="D15" s="0" t="n">
        <v>1969</v>
      </c>
      <c r="E15" s="0" t="n">
        <v>2024</v>
      </c>
      <c r="F15" s="1" t="s">
        <v>18</v>
      </c>
      <c r="G15" s="0" t="n">
        <v>48000000</v>
      </c>
      <c r="H15" s="0" t="n">
        <f aca="false">LN(G15/C15)</f>
        <v>13.774688563444</v>
      </c>
      <c r="I15" s="0" t="n">
        <f aca="false">B15</f>
        <v>3</v>
      </c>
      <c r="J15" s="0" t="n">
        <f aca="false">E15-D15</f>
        <v>55</v>
      </c>
      <c r="K15" s="0" t="n">
        <f aca="false">C15</f>
        <v>50</v>
      </c>
      <c r="L15" s="0" t="n">
        <f aca="false">IF(F15="改装済み",1,0)</f>
        <v>1</v>
      </c>
      <c r="M15" s="0" t="n">
        <f aca="false">IF(A15="池尻大橋",1,0)</f>
        <v>1</v>
      </c>
      <c r="N15" s="0" t="n">
        <f aca="false">IF(A15="三軒茶屋",1,0)</f>
        <v>0</v>
      </c>
      <c r="O15" s="0" t="n">
        <f aca="false">IF(A15="駒沢大学",1,0)</f>
        <v>0</v>
      </c>
      <c r="P15" s="0" t="n">
        <f aca="false">IF(A15="桜新町",1,0)</f>
        <v>0</v>
      </c>
      <c r="Q15" s="0" t="n">
        <f aca="false">IF(A15="二子玉川",1,0)</f>
        <v>0</v>
      </c>
      <c r="R15" s="0" t="n">
        <f aca="false">IF(E15=2021,1,0)</f>
        <v>0</v>
      </c>
      <c r="S15" s="0" t="n">
        <f aca="false">IF(E15=2022,1,0)</f>
        <v>0</v>
      </c>
      <c r="T15" s="0" t="n">
        <f aca="false">IF(E15=2023,1,0)</f>
        <v>0</v>
      </c>
      <c r="U15" s="0" t="n">
        <f aca="false">IF(E15=2024,1,0)</f>
        <v>1</v>
      </c>
    </row>
    <row r="16" customFormat="false" ht="15" hidden="false" customHeight="false" outlineLevel="0" collapsed="false">
      <c r="A16" s="1" t="s">
        <v>9</v>
      </c>
      <c r="B16" s="0" t="n">
        <v>0</v>
      </c>
      <c r="C16" s="0" t="n">
        <v>60</v>
      </c>
      <c r="D16" s="0" t="n">
        <v>1969</v>
      </c>
      <c r="E16" s="0" t="n">
        <v>2024</v>
      </c>
      <c r="F16" s="1" t="s">
        <v>19</v>
      </c>
      <c r="G16" s="0" t="n">
        <v>50000000</v>
      </c>
      <c r="H16" s="0" t="n">
        <f aca="false">LN(G16/C16)</f>
        <v>13.6331890011703</v>
      </c>
      <c r="I16" s="0" t="n">
        <f aca="false">B16</f>
        <v>0</v>
      </c>
      <c r="J16" s="0" t="n">
        <f aca="false">E16-D16</f>
        <v>55</v>
      </c>
      <c r="K16" s="0" t="n">
        <f aca="false">C16</f>
        <v>60</v>
      </c>
      <c r="L16" s="0" t="n">
        <f aca="false">IF(F16="改装済み",1,0)</f>
        <v>0</v>
      </c>
      <c r="M16" s="0" t="n">
        <f aca="false">IF(A16="池尻大橋",1,0)</f>
        <v>1</v>
      </c>
      <c r="N16" s="0" t="n">
        <f aca="false">IF(A16="三軒茶屋",1,0)</f>
        <v>0</v>
      </c>
      <c r="O16" s="0" t="n">
        <f aca="false">IF(A16="駒沢大学",1,0)</f>
        <v>0</v>
      </c>
      <c r="P16" s="0" t="n">
        <f aca="false">IF(A16="桜新町",1,0)</f>
        <v>0</v>
      </c>
      <c r="Q16" s="0" t="n">
        <f aca="false">IF(A16="二子玉川",1,0)</f>
        <v>0</v>
      </c>
      <c r="R16" s="0" t="n">
        <f aca="false">IF(E16=2021,1,0)</f>
        <v>0</v>
      </c>
      <c r="S16" s="0" t="n">
        <f aca="false">IF(E16=2022,1,0)</f>
        <v>0</v>
      </c>
      <c r="T16" s="0" t="n">
        <f aca="false">IF(E16=2023,1,0)</f>
        <v>0</v>
      </c>
      <c r="U16" s="0" t="n">
        <f aca="false">IF(E16=2024,1,0)</f>
        <v>1</v>
      </c>
    </row>
    <row r="17" customFormat="false" ht="15" hidden="false" customHeight="false" outlineLevel="0" collapsed="false">
      <c r="A17" s="1" t="s">
        <v>9</v>
      </c>
      <c r="B17" s="0" t="n">
        <v>5</v>
      </c>
      <c r="C17" s="0" t="n">
        <v>55</v>
      </c>
      <c r="D17" s="0" t="n">
        <v>1976</v>
      </c>
      <c r="E17" s="0" t="n">
        <v>2024</v>
      </c>
      <c r="F17" s="1" t="s">
        <v>19</v>
      </c>
      <c r="G17" s="0" t="n">
        <v>38000000</v>
      </c>
      <c r="H17" s="0" t="n">
        <f aca="false">LN(G17/C17)</f>
        <v>13.4457635324582</v>
      </c>
      <c r="I17" s="0" t="n">
        <f aca="false">B17</f>
        <v>5</v>
      </c>
      <c r="J17" s="0" t="n">
        <f aca="false">E17-D17</f>
        <v>48</v>
      </c>
      <c r="K17" s="0" t="n">
        <f aca="false">C17</f>
        <v>55</v>
      </c>
      <c r="L17" s="0" t="n">
        <f aca="false">IF(F17="改装済み",1,0)</f>
        <v>0</v>
      </c>
      <c r="M17" s="0" t="n">
        <f aca="false">IF(A17="池尻大橋",1,0)</f>
        <v>1</v>
      </c>
      <c r="N17" s="0" t="n">
        <f aca="false">IF(A17="三軒茶屋",1,0)</f>
        <v>0</v>
      </c>
      <c r="O17" s="0" t="n">
        <f aca="false">IF(A17="駒沢大学",1,0)</f>
        <v>0</v>
      </c>
      <c r="P17" s="0" t="n">
        <f aca="false">IF(A17="桜新町",1,0)</f>
        <v>0</v>
      </c>
      <c r="Q17" s="0" t="n">
        <f aca="false">IF(A17="二子玉川",1,0)</f>
        <v>0</v>
      </c>
      <c r="R17" s="0" t="n">
        <f aca="false">IF(E17=2021,1,0)</f>
        <v>0</v>
      </c>
      <c r="S17" s="0" t="n">
        <f aca="false">IF(E17=2022,1,0)</f>
        <v>0</v>
      </c>
      <c r="T17" s="0" t="n">
        <f aca="false">IF(E17=2023,1,0)</f>
        <v>0</v>
      </c>
      <c r="U17" s="0" t="n">
        <f aca="false">IF(E17=2024,1,0)</f>
        <v>1</v>
      </c>
    </row>
    <row r="18" customFormat="false" ht="15" hidden="false" customHeight="false" outlineLevel="0" collapsed="false">
      <c r="A18" s="1" t="s">
        <v>9</v>
      </c>
      <c r="B18" s="0" t="n">
        <v>5</v>
      </c>
      <c r="C18" s="0" t="n">
        <v>70</v>
      </c>
      <c r="D18" s="0" t="n">
        <v>2014</v>
      </c>
      <c r="E18" s="0" t="n">
        <v>2023</v>
      </c>
      <c r="F18" s="1" t="s">
        <v>19</v>
      </c>
      <c r="G18" s="0" t="n">
        <v>120000000</v>
      </c>
      <c r="H18" s="0" t="n">
        <f aca="false">LN(G18/C18)</f>
        <v>14.354507058697</v>
      </c>
      <c r="I18" s="0" t="n">
        <f aca="false">B18</f>
        <v>5</v>
      </c>
      <c r="J18" s="0" t="n">
        <f aca="false">E18-D18</f>
        <v>9</v>
      </c>
      <c r="K18" s="0" t="n">
        <f aca="false">C18</f>
        <v>70</v>
      </c>
      <c r="L18" s="0" t="n">
        <f aca="false">IF(F18="改装済み",1,0)</f>
        <v>0</v>
      </c>
      <c r="M18" s="0" t="n">
        <f aca="false">IF(A18="池尻大橋",1,0)</f>
        <v>1</v>
      </c>
      <c r="N18" s="0" t="n">
        <f aca="false">IF(A18="三軒茶屋",1,0)</f>
        <v>0</v>
      </c>
      <c r="O18" s="0" t="n">
        <f aca="false">IF(A18="駒沢大学",1,0)</f>
        <v>0</v>
      </c>
      <c r="P18" s="0" t="n">
        <f aca="false">IF(A18="桜新町",1,0)</f>
        <v>0</v>
      </c>
      <c r="Q18" s="0" t="n">
        <f aca="false">IF(A18="二子玉川",1,0)</f>
        <v>0</v>
      </c>
      <c r="R18" s="0" t="n">
        <f aca="false">IF(E18=2021,1,0)</f>
        <v>0</v>
      </c>
      <c r="S18" s="0" t="n">
        <f aca="false">IF(E18=2022,1,0)</f>
        <v>0</v>
      </c>
      <c r="T18" s="0" t="n">
        <f aca="false">IF(E18=2023,1,0)</f>
        <v>1</v>
      </c>
      <c r="U18" s="0" t="n">
        <f aca="false">IF(E18=2024,1,0)</f>
        <v>0</v>
      </c>
    </row>
    <row r="19" customFormat="false" ht="15" hidden="false" customHeight="false" outlineLevel="0" collapsed="false">
      <c r="A19" s="1" t="s">
        <v>9</v>
      </c>
      <c r="B19" s="0" t="n">
        <v>0</v>
      </c>
      <c r="C19" s="0" t="n">
        <v>65</v>
      </c>
      <c r="D19" s="0" t="n">
        <v>1969</v>
      </c>
      <c r="E19" s="0" t="n">
        <v>2023</v>
      </c>
      <c r="F19" s="1" t="s">
        <v>18</v>
      </c>
      <c r="G19" s="0" t="n">
        <v>58000000</v>
      </c>
      <c r="H19" s="0" t="n">
        <f aca="false">LN(G19/C19)</f>
        <v>13.7015662986151</v>
      </c>
      <c r="I19" s="0" t="n">
        <f aca="false">B19</f>
        <v>0</v>
      </c>
      <c r="J19" s="0" t="n">
        <f aca="false">E19-D19</f>
        <v>54</v>
      </c>
      <c r="K19" s="0" t="n">
        <f aca="false">C19</f>
        <v>65</v>
      </c>
      <c r="L19" s="0" t="n">
        <f aca="false">IF(F19="改装済み",1,0)</f>
        <v>1</v>
      </c>
      <c r="M19" s="0" t="n">
        <f aca="false">IF(A19="池尻大橋",1,0)</f>
        <v>1</v>
      </c>
      <c r="N19" s="0" t="n">
        <f aca="false">IF(A19="三軒茶屋",1,0)</f>
        <v>0</v>
      </c>
      <c r="O19" s="0" t="n">
        <f aca="false">IF(A19="駒沢大学",1,0)</f>
        <v>0</v>
      </c>
      <c r="P19" s="0" t="n">
        <f aca="false">IF(A19="桜新町",1,0)</f>
        <v>0</v>
      </c>
      <c r="Q19" s="0" t="n">
        <f aca="false">IF(A19="二子玉川",1,0)</f>
        <v>0</v>
      </c>
      <c r="R19" s="0" t="n">
        <f aca="false">IF(E19=2021,1,0)</f>
        <v>0</v>
      </c>
      <c r="S19" s="0" t="n">
        <f aca="false">IF(E19=2022,1,0)</f>
        <v>0</v>
      </c>
      <c r="T19" s="0" t="n">
        <f aca="false">IF(E19=2023,1,0)</f>
        <v>1</v>
      </c>
      <c r="U19" s="0" t="n">
        <f aca="false">IF(E19=2024,1,0)</f>
        <v>0</v>
      </c>
    </row>
    <row r="20" customFormat="false" ht="15" hidden="false" customHeight="false" outlineLevel="0" collapsed="false">
      <c r="A20" s="1" t="s">
        <v>9</v>
      </c>
      <c r="B20" s="0" t="n">
        <v>11</v>
      </c>
      <c r="C20" s="0" t="n">
        <v>85</v>
      </c>
      <c r="D20" s="0" t="n">
        <v>1972</v>
      </c>
      <c r="E20" s="0" t="n">
        <v>2023</v>
      </c>
      <c r="F20" s="1" t="s">
        <v>19</v>
      </c>
      <c r="G20" s="0" t="n">
        <v>57000000</v>
      </c>
      <c r="H20" s="0" t="n">
        <f aca="false">LN(G20/C20)</f>
        <v>13.4159105693085</v>
      </c>
      <c r="I20" s="0" t="n">
        <f aca="false">B20</f>
        <v>11</v>
      </c>
      <c r="J20" s="0" t="n">
        <f aca="false">E20-D20</f>
        <v>51</v>
      </c>
      <c r="K20" s="0" t="n">
        <f aca="false">C20</f>
        <v>85</v>
      </c>
      <c r="L20" s="0" t="n">
        <f aca="false">IF(F20="改装済み",1,0)</f>
        <v>0</v>
      </c>
      <c r="M20" s="0" t="n">
        <f aca="false">IF(A20="池尻大橋",1,0)</f>
        <v>1</v>
      </c>
      <c r="N20" s="0" t="n">
        <f aca="false">IF(A20="三軒茶屋",1,0)</f>
        <v>0</v>
      </c>
      <c r="O20" s="0" t="n">
        <f aca="false">IF(A20="駒沢大学",1,0)</f>
        <v>0</v>
      </c>
      <c r="P20" s="0" t="n">
        <f aca="false">IF(A20="桜新町",1,0)</f>
        <v>0</v>
      </c>
      <c r="Q20" s="0" t="n">
        <f aca="false">IF(A20="二子玉川",1,0)</f>
        <v>0</v>
      </c>
      <c r="R20" s="0" t="n">
        <f aca="false">IF(E20=2021,1,0)</f>
        <v>0</v>
      </c>
      <c r="S20" s="0" t="n">
        <f aca="false">IF(E20=2022,1,0)</f>
        <v>0</v>
      </c>
      <c r="T20" s="0" t="n">
        <f aca="false">IF(E20=2023,1,0)</f>
        <v>1</v>
      </c>
      <c r="U20" s="0" t="n">
        <f aca="false">IF(E20=2024,1,0)</f>
        <v>0</v>
      </c>
    </row>
    <row r="21" customFormat="false" ht="15" hidden="false" customHeight="false" outlineLevel="0" collapsed="false">
      <c r="A21" s="1" t="s">
        <v>9</v>
      </c>
      <c r="B21" s="0" t="n">
        <v>8</v>
      </c>
      <c r="C21" s="0" t="n">
        <v>50</v>
      </c>
      <c r="D21" s="0" t="n">
        <v>2012</v>
      </c>
      <c r="E21" s="0" t="n">
        <v>2023</v>
      </c>
      <c r="F21" s="1" t="s">
        <v>19</v>
      </c>
      <c r="G21" s="0" t="n">
        <v>85000000</v>
      </c>
      <c r="H21" s="0" t="n">
        <f aca="false">LN(G21/C21)</f>
        <v>14.3461388090264</v>
      </c>
      <c r="I21" s="0" t="n">
        <f aca="false">B21</f>
        <v>8</v>
      </c>
      <c r="J21" s="0" t="n">
        <f aca="false">E21-D21</f>
        <v>11</v>
      </c>
      <c r="K21" s="0" t="n">
        <f aca="false">C21</f>
        <v>50</v>
      </c>
      <c r="L21" s="0" t="n">
        <f aca="false">IF(F21="改装済み",1,0)</f>
        <v>0</v>
      </c>
      <c r="M21" s="0" t="n">
        <f aca="false">IF(A21="池尻大橋",1,0)</f>
        <v>1</v>
      </c>
      <c r="N21" s="0" t="n">
        <f aca="false">IF(A21="三軒茶屋",1,0)</f>
        <v>0</v>
      </c>
      <c r="O21" s="0" t="n">
        <f aca="false">IF(A21="駒沢大学",1,0)</f>
        <v>0</v>
      </c>
      <c r="P21" s="0" t="n">
        <f aca="false">IF(A21="桜新町",1,0)</f>
        <v>0</v>
      </c>
      <c r="Q21" s="0" t="n">
        <f aca="false">IF(A21="二子玉川",1,0)</f>
        <v>0</v>
      </c>
      <c r="R21" s="0" t="n">
        <f aca="false">IF(E21=2021,1,0)</f>
        <v>0</v>
      </c>
      <c r="S21" s="0" t="n">
        <f aca="false">IF(E21=2022,1,0)</f>
        <v>0</v>
      </c>
      <c r="T21" s="0" t="n">
        <f aca="false">IF(E21=2023,1,0)</f>
        <v>1</v>
      </c>
      <c r="U21" s="0" t="n">
        <f aca="false">IF(E21=2024,1,0)</f>
        <v>0</v>
      </c>
    </row>
    <row r="22" customFormat="false" ht="15" hidden="false" customHeight="false" outlineLevel="0" collapsed="false">
      <c r="A22" s="1" t="s">
        <v>9</v>
      </c>
      <c r="B22" s="0" t="n">
        <v>5</v>
      </c>
      <c r="C22" s="0" t="n">
        <v>50</v>
      </c>
      <c r="D22" s="0" t="n">
        <v>1991</v>
      </c>
      <c r="E22" s="0" t="n">
        <v>2023</v>
      </c>
      <c r="F22" s="1" t="s">
        <v>19</v>
      </c>
      <c r="G22" s="0" t="n">
        <v>63000000</v>
      </c>
      <c r="H22" s="0" t="n">
        <f aca="false">LN(G22/C22)</f>
        <v>14.0466222789277</v>
      </c>
      <c r="I22" s="0" t="n">
        <f aca="false">B22</f>
        <v>5</v>
      </c>
      <c r="J22" s="0" t="n">
        <f aca="false">E22-D22</f>
        <v>32</v>
      </c>
      <c r="K22" s="0" t="n">
        <f aca="false">C22</f>
        <v>50</v>
      </c>
      <c r="L22" s="0" t="n">
        <f aca="false">IF(F22="改装済み",1,0)</f>
        <v>0</v>
      </c>
      <c r="M22" s="0" t="n">
        <f aca="false">IF(A22="池尻大橋",1,0)</f>
        <v>1</v>
      </c>
      <c r="N22" s="0" t="n">
        <f aca="false">IF(A22="三軒茶屋",1,0)</f>
        <v>0</v>
      </c>
      <c r="O22" s="0" t="n">
        <f aca="false">IF(A22="駒沢大学",1,0)</f>
        <v>0</v>
      </c>
      <c r="P22" s="0" t="n">
        <f aca="false">IF(A22="桜新町",1,0)</f>
        <v>0</v>
      </c>
      <c r="Q22" s="0" t="n">
        <f aca="false">IF(A22="二子玉川",1,0)</f>
        <v>0</v>
      </c>
      <c r="R22" s="0" t="n">
        <f aca="false">IF(E22=2021,1,0)</f>
        <v>0</v>
      </c>
      <c r="S22" s="0" t="n">
        <f aca="false">IF(E22=2022,1,0)</f>
        <v>0</v>
      </c>
      <c r="T22" s="0" t="n">
        <f aca="false">IF(E22=2023,1,0)</f>
        <v>1</v>
      </c>
      <c r="U22" s="0" t="n">
        <f aca="false">IF(E22=2024,1,0)</f>
        <v>0</v>
      </c>
    </row>
    <row r="23" customFormat="false" ht="15" hidden="false" customHeight="false" outlineLevel="0" collapsed="false">
      <c r="A23" s="1" t="s">
        <v>9</v>
      </c>
      <c r="B23" s="0" t="n">
        <v>3</v>
      </c>
      <c r="C23" s="0" t="n">
        <v>50</v>
      </c>
      <c r="D23" s="0" t="n">
        <v>1999</v>
      </c>
      <c r="E23" s="0" t="n">
        <v>2023</v>
      </c>
      <c r="F23" s="1" t="s">
        <v>18</v>
      </c>
      <c r="G23" s="0" t="n">
        <v>62000000</v>
      </c>
      <c r="H23" s="0" t="n">
        <f aca="false">LN(G23/C23)</f>
        <v>14.0306219375812</v>
      </c>
      <c r="I23" s="0" t="n">
        <f aca="false">B23</f>
        <v>3</v>
      </c>
      <c r="J23" s="0" t="n">
        <f aca="false">E23-D23</f>
        <v>24</v>
      </c>
      <c r="K23" s="0" t="n">
        <f aca="false">C23</f>
        <v>50</v>
      </c>
      <c r="L23" s="0" t="n">
        <f aca="false">IF(F23="改装済み",1,0)</f>
        <v>1</v>
      </c>
      <c r="M23" s="0" t="n">
        <f aca="false">IF(A23="池尻大橋",1,0)</f>
        <v>1</v>
      </c>
      <c r="N23" s="0" t="n">
        <f aca="false">IF(A23="三軒茶屋",1,0)</f>
        <v>0</v>
      </c>
      <c r="O23" s="0" t="n">
        <f aca="false">IF(A23="駒沢大学",1,0)</f>
        <v>0</v>
      </c>
      <c r="P23" s="0" t="n">
        <f aca="false">IF(A23="桜新町",1,0)</f>
        <v>0</v>
      </c>
      <c r="Q23" s="0" t="n">
        <f aca="false">IF(A23="二子玉川",1,0)</f>
        <v>0</v>
      </c>
      <c r="R23" s="0" t="n">
        <f aca="false">IF(E23=2021,1,0)</f>
        <v>0</v>
      </c>
      <c r="S23" s="0" t="n">
        <f aca="false">IF(E23=2022,1,0)</f>
        <v>0</v>
      </c>
      <c r="T23" s="0" t="n">
        <f aca="false">IF(E23=2023,1,0)</f>
        <v>1</v>
      </c>
      <c r="U23" s="0" t="n">
        <f aca="false">IF(E23=2024,1,0)</f>
        <v>0</v>
      </c>
    </row>
    <row r="24" customFormat="false" ht="15" hidden="false" customHeight="false" outlineLevel="0" collapsed="false">
      <c r="A24" s="1" t="s">
        <v>9</v>
      </c>
      <c r="B24" s="0" t="n">
        <v>5</v>
      </c>
      <c r="C24" s="0" t="n">
        <v>55</v>
      </c>
      <c r="D24" s="0" t="n">
        <v>1976</v>
      </c>
      <c r="E24" s="0" t="n">
        <v>2022</v>
      </c>
      <c r="F24" s="1" t="s">
        <v>18</v>
      </c>
      <c r="G24" s="0" t="n">
        <v>62000000</v>
      </c>
      <c r="H24" s="0" t="n">
        <f aca="false">LN(G24/C24)</f>
        <v>13.9353117577769</v>
      </c>
      <c r="I24" s="0" t="n">
        <f aca="false">B24</f>
        <v>5</v>
      </c>
      <c r="J24" s="0" t="n">
        <f aca="false">E24-D24</f>
        <v>46</v>
      </c>
      <c r="K24" s="0" t="n">
        <f aca="false">C24</f>
        <v>55</v>
      </c>
      <c r="L24" s="0" t="n">
        <f aca="false">IF(F24="改装済み",1,0)</f>
        <v>1</v>
      </c>
      <c r="M24" s="0" t="n">
        <f aca="false">IF(A24="池尻大橋",1,0)</f>
        <v>1</v>
      </c>
      <c r="N24" s="0" t="n">
        <f aca="false">IF(A24="三軒茶屋",1,0)</f>
        <v>0</v>
      </c>
      <c r="O24" s="0" t="n">
        <f aca="false">IF(A24="駒沢大学",1,0)</f>
        <v>0</v>
      </c>
      <c r="P24" s="0" t="n">
        <f aca="false">IF(A24="桜新町",1,0)</f>
        <v>0</v>
      </c>
      <c r="Q24" s="0" t="n">
        <f aca="false">IF(A24="二子玉川",1,0)</f>
        <v>0</v>
      </c>
      <c r="R24" s="0" t="n">
        <f aca="false">IF(E24=2021,1,0)</f>
        <v>0</v>
      </c>
      <c r="S24" s="0" t="n">
        <f aca="false">IF(E24=2022,1,0)</f>
        <v>1</v>
      </c>
      <c r="T24" s="0" t="n">
        <f aca="false">IF(E24=2023,1,0)</f>
        <v>0</v>
      </c>
      <c r="U24" s="0" t="n">
        <f aca="false">IF(E24=2024,1,0)</f>
        <v>0</v>
      </c>
    </row>
    <row r="25" customFormat="false" ht="15" hidden="false" customHeight="false" outlineLevel="0" collapsed="false">
      <c r="A25" s="1" t="s">
        <v>9</v>
      </c>
      <c r="B25" s="0" t="n">
        <v>0</v>
      </c>
      <c r="C25" s="0" t="n">
        <v>55</v>
      </c>
      <c r="D25" s="0" t="n">
        <v>1969</v>
      </c>
      <c r="E25" s="0" t="n">
        <v>2022</v>
      </c>
      <c r="F25" s="1" t="s">
        <v>18</v>
      </c>
      <c r="G25" s="0" t="n">
        <v>41000000</v>
      </c>
      <c r="H25" s="0" t="n">
        <f aca="false">LN(G25/C25)</f>
        <v>13.5217494394361</v>
      </c>
      <c r="I25" s="0" t="n">
        <f aca="false">B25</f>
        <v>0</v>
      </c>
      <c r="J25" s="0" t="n">
        <f aca="false">E25-D25</f>
        <v>53</v>
      </c>
      <c r="K25" s="0" t="n">
        <f aca="false">C25</f>
        <v>55</v>
      </c>
      <c r="L25" s="0" t="n">
        <f aca="false">IF(F25="改装済み",1,0)</f>
        <v>1</v>
      </c>
      <c r="M25" s="0" t="n">
        <f aca="false">IF(A25="池尻大橋",1,0)</f>
        <v>1</v>
      </c>
      <c r="N25" s="0" t="n">
        <f aca="false">IF(A25="三軒茶屋",1,0)</f>
        <v>0</v>
      </c>
      <c r="O25" s="0" t="n">
        <f aca="false">IF(A25="駒沢大学",1,0)</f>
        <v>0</v>
      </c>
      <c r="P25" s="0" t="n">
        <f aca="false">IF(A25="桜新町",1,0)</f>
        <v>0</v>
      </c>
      <c r="Q25" s="0" t="n">
        <f aca="false">IF(A25="二子玉川",1,0)</f>
        <v>0</v>
      </c>
      <c r="R25" s="0" t="n">
        <f aca="false">IF(E25=2021,1,0)</f>
        <v>0</v>
      </c>
      <c r="S25" s="0" t="n">
        <f aca="false">IF(E25=2022,1,0)</f>
        <v>1</v>
      </c>
      <c r="T25" s="0" t="n">
        <f aca="false">IF(E25=2023,1,0)</f>
        <v>0</v>
      </c>
      <c r="U25" s="0" t="n">
        <f aca="false">IF(E25=2024,1,0)</f>
        <v>0</v>
      </c>
    </row>
    <row r="26" customFormat="false" ht="15" hidden="false" customHeight="false" outlineLevel="0" collapsed="false">
      <c r="A26" s="1" t="s">
        <v>9</v>
      </c>
      <c r="B26" s="0" t="n">
        <v>8</v>
      </c>
      <c r="C26" s="0" t="n">
        <v>95</v>
      </c>
      <c r="D26" s="0" t="n">
        <v>2008</v>
      </c>
      <c r="E26" s="0" t="n">
        <v>2022</v>
      </c>
      <c r="F26" s="1" t="s">
        <v>19</v>
      </c>
      <c r="G26" s="0" t="n">
        <v>140000000</v>
      </c>
      <c r="H26" s="0" t="n">
        <f aca="false">LN(G26/C26)</f>
        <v>14.203276088973</v>
      </c>
      <c r="I26" s="0" t="n">
        <f aca="false">B26</f>
        <v>8</v>
      </c>
      <c r="J26" s="0" t="n">
        <f aca="false">E26-D26</f>
        <v>14</v>
      </c>
      <c r="K26" s="0" t="n">
        <f aca="false">C26</f>
        <v>95</v>
      </c>
      <c r="L26" s="0" t="n">
        <f aca="false">IF(F26="改装済み",1,0)</f>
        <v>0</v>
      </c>
      <c r="M26" s="0" t="n">
        <f aca="false">IF(A26="池尻大橋",1,0)</f>
        <v>1</v>
      </c>
      <c r="N26" s="0" t="n">
        <f aca="false">IF(A26="三軒茶屋",1,0)</f>
        <v>0</v>
      </c>
      <c r="O26" s="0" t="n">
        <f aca="false">IF(A26="駒沢大学",1,0)</f>
        <v>0</v>
      </c>
      <c r="P26" s="0" t="n">
        <f aca="false">IF(A26="桜新町",1,0)</f>
        <v>0</v>
      </c>
      <c r="Q26" s="0" t="n">
        <f aca="false">IF(A26="二子玉川",1,0)</f>
        <v>0</v>
      </c>
      <c r="R26" s="0" t="n">
        <f aca="false">IF(E26=2021,1,0)</f>
        <v>0</v>
      </c>
      <c r="S26" s="0" t="n">
        <f aca="false">IF(E26=2022,1,0)</f>
        <v>1</v>
      </c>
      <c r="T26" s="0" t="n">
        <f aca="false">IF(E26=2023,1,0)</f>
        <v>0</v>
      </c>
      <c r="U26" s="0" t="n">
        <f aca="false">IF(E26=2024,1,0)</f>
        <v>0</v>
      </c>
    </row>
    <row r="27" customFormat="false" ht="15" hidden="false" customHeight="false" outlineLevel="0" collapsed="false">
      <c r="A27" s="1" t="s">
        <v>9</v>
      </c>
      <c r="B27" s="0" t="n">
        <v>5</v>
      </c>
      <c r="C27" s="0" t="n">
        <v>75</v>
      </c>
      <c r="D27" s="0" t="n">
        <v>1976</v>
      </c>
      <c r="E27" s="0" t="n">
        <v>2022</v>
      </c>
      <c r="F27" s="1" t="s">
        <v>18</v>
      </c>
      <c r="G27" s="0" t="n">
        <v>80000000</v>
      </c>
      <c r="H27" s="0" t="n">
        <f aca="false">LN(G27/C27)</f>
        <v>13.8800490791018</v>
      </c>
      <c r="I27" s="0" t="n">
        <f aca="false">B27</f>
        <v>5</v>
      </c>
      <c r="J27" s="0" t="n">
        <f aca="false">E27-D27</f>
        <v>46</v>
      </c>
      <c r="K27" s="0" t="n">
        <f aca="false">C27</f>
        <v>75</v>
      </c>
      <c r="L27" s="0" t="n">
        <f aca="false">IF(F27="改装済み",1,0)</f>
        <v>1</v>
      </c>
      <c r="M27" s="0" t="n">
        <f aca="false">IF(A27="池尻大橋",1,0)</f>
        <v>1</v>
      </c>
      <c r="N27" s="0" t="n">
        <f aca="false">IF(A27="三軒茶屋",1,0)</f>
        <v>0</v>
      </c>
      <c r="O27" s="0" t="n">
        <f aca="false">IF(A27="駒沢大学",1,0)</f>
        <v>0</v>
      </c>
      <c r="P27" s="0" t="n">
        <f aca="false">IF(A27="桜新町",1,0)</f>
        <v>0</v>
      </c>
      <c r="Q27" s="0" t="n">
        <f aca="false">IF(A27="二子玉川",1,0)</f>
        <v>0</v>
      </c>
      <c r="R27" s="0" t="n">
        <f aca="false">IF(E27=2021,1,0)</f>
        <v>0</v>
      </c>
      <c r="S27" s="0" t="n">
        <f aca="false">IF(E27=2022,1,0)</f>
        <v>1</v>
      </c>
      <c r="T27" s="0" t="n">
        <f aca="false">IF(E27=2023,1,0)</f>
        <v>0</v>
      </c>
      <c r="U27" s="0" t="n">
        <f aca="false">IF(E27=2024,1,0)</f>
        <v>0</v>
      </c>
    </row>
    <row r="28" customFormat="false" ht="15" hidden="false" customHeight="false" outlineLevel="0" collapsed="false">
      <c r="A28" s="1" t="s">
        <v>9</v>
      </c>
      <c r="B28" s="0" t="n">
        <v>0</v>
      </c>
      <c r="C28" s="0" t="n">
        <v>65</v>
      </c>
      <c r="D28" s="0" t="n">
        <v>1969</v>
      </c>
      <c r="E28" s="0" t="n">
        <v>2022</v>
      </c>
      <c r="F28" s="1" t="s">
        <v>19</v>
      </c>
      <c r="G28" s="0" t="n">
        <v>37000000</v>
      </c>
      <c r="H28" s="0" t="n">
        <f aca="false">LN(G28/C28)</f>
        <v>13.2520412007129</v>
      </c>
      <c r="I28" s="0" t="n">
        <f aca="false">B28</f>
        <v>0</v>
      </c>
      <c r="J28" s="0" t="n">
        <f aca="false">E28-D28</f>
        <v>53</v>
      </c>
      <c r="K28" s="0" t="n">
        <f aca="false">C28</f>
        <v>65</v>
      </c>
      <c r="L28" s="0" t="n">
        <f aca="false">IF(F28="改装済み",1,0)</f>
        <v>0</v>
      </c>
      <c r="M28" s="0" t="n">
        <f aca="false">IF(A28="池尻大橋",1,0)</f>
        <v>1</v>
      </c>
      <c r="N28" s="0" t="n">
        <f aca="false">IF(A28="三軒茶屋",1,0)</f>
        <v>0</v>
      </c>
      <c r="O28" s="0" t="n">
        <f aca="false">IF(A28="駒沢大学",1,0)</f>
        <v>0</v>
      </c>
      <c r="P28" s="0" t="n">
        <f aca="false">IF(A28="桜新町",1,0)</f>
        <v>0</v>
      </c>
      <c r="Q28" s="0" t="n">
        <f aca="false">IF(A28="二子玉川",1,0)</f>
        <v>0</v>
      </c>
      <c r="R28" s="0" t="n">
        <f aca="false">IF(E28=2021,1,0)</f>
        <v>0</v>
      </c>
      <c r="S28" s="0" t="n">
        <f aca="false">IF(E28=2022,1,0)</f>
        <v>1</v>
      </c>
      <c r="T28" s="0" t="n">
        <f aca="false">IF(E28=2023,1,0)</f>
        <v>0</v>
      </c>
      <c r="U28" s="0" t="n">
        <f aca="false">IF(E28=2024,1,0)</f>
        <v>0</v>
      </c>
    </row>
    <row r="29" customFormat="false" ht="15" hidden="false" customHeight="false" outlineLevel="0" collapsed="false">
      <c r="A29" s="1" t="s">
        <v>9</v>
      </c>
      <c r="B29" s="0" t="n">
        <v>3</v>
      </c>
      <c r="C29" s="0" t="n">
        <v>55</v>
      </c>
      <c r="D29" s="0" t="n">
        <v>2000</v>
      </c>
      <c r="E29" s="0" t="n">
        <v>2022</v>
      </c>
      <c r="F29" s="1" t="s">
        <v>18</v>
      </c>
      <c r="G29" s="0" t="n">
        <v>84000000</v>
      </c>
      <c r="H29" s="0" t="n">
        <f aca="false">LN(G29/C29)</f>
        <v>14.2389941715751</v>
      </c>
      <c r="I29" s="0" t="n">
        <f aca="false">B29</f>
        <v>3</v>
      </c>
      <c r="J29" s="0" t="n">
        <f aca="false">E29-D29</f>
        <v>22</v>
      </c>
      <c r="K29" s="0" t="n">
        <f aca="false">C29</f>
        <v>55</v>
      </c>
      <c r="L29" s="0" t="n">
        <f aca="false">IF(F29="改装済み",1,0)</f>
        <v>1</v>
      </c>
      <c r="M29" s="0" t="n">
        <f aca="false">IF(A29="池尻大橋",1,0)</f>
        <v>1</v>
      </c>
      <c r="N29" s="0" t="n">
        <f aca="false">IF(A29="三軒茶屋",1,0)</f>
        <v>0</v>
      </c>
      <c r="O29" s="0" t="n">
        <f aca="false">IF(A29="駒沢大学",1,0)</f>
        <v>0</v>
      </c>
      <c r="P29" s="0" t="n">
        <f aca="false">IF(A29="桜新町",1,0)</f>
        <v>0</v>
      </c>
      <c r="Q29" s="0" t="n">
        <f aca="false">IF(A29="二子玉川",1,0)</f>
        <v>0</v>
      </c>
      <c r="R29" s="0" t="n">
        <f aca="false">IF(E29=2021,1,0)</f>
        <v>0</v>
      </c>
      <c r="S29" s="0" t="n">
        <f aca="false">IF(E29=2022,1,0)</f>
        <v>1</v>
      </c>
      <c r="T29" s="0" t="n">
        <f aca="false">IF(E29=2023,1,0)</f>
        <v>0</v>
      </c>
      <c r="U29" s="0" t="n">
        <f aca="false">IF(E29=2024,1,0)</f>
        <v>0</v>
      </c>
    </row>
    <row r="30" customFormat="false" ht="15" hidden="false" customHeight="false" outlineLevel="0" collapsed="false">
      <c r="A30" s="1" t="s">
        <v>9</v>
      </c>
      <c r="B30" s="0" t="n">
        <v>11</v>
      </c>
      <c r="C30" s="0" t="n">
        <v>70</v>
      </c>
      <c r="D30" s="0" t="n">
        <v>1972</v>
      </c>
      <c r="E30" s="0" t="n">
        <v>2022</v>
      </c>
      <c r="F30" s="1" t="s">
        <v>19</v>
      </c>
      <c r="G30" s="0" t="n">
        <v>50000000</v>
      </c>
      <c r="H30" s="0" t="n">
        <f aca="false">LN(G30/C30)</f>
        <v>13.4790383213431</v>
      </c>
      <c r="I30" s="0" t="n">
        <f aca="false">B30</f>
        <v>11</v>
      </c>
      <c r="J30" s="0" t="n">
        <f aca="false">E30-D30</f>
        <v>50</v>
      </c>
      <c r="K30" s="0" t="n">
        <f aca="false">C30</f>
        <v>70</v>
      </c>
      <c r="L30" s="0" t="n">
        <f aca="false">IF(F30="改装済み",1,0)</f>
        <v>0</v>
      </c>
      <c r="M30" s="0" t="n">
        <f aca="false">IF(A30="池尻大橋",1,0)</f>
        <v>1</v>
      </c>
      <c r="N30" s="0" t="n">
        <f aca="false">IF(A30="三軒茶屋",1,0)</f>
        <v>0</v>
      </c>
      <c r="O30" s="0" t="n">
        <f aca="false">IF(A30="駒沢大学",1,0)</f>
        <v>0</v>
      </c>
      <c r="P30" s="0" t="n">
        <f aca="false">IF(A30="桜新町",1,0)</f>
        <v>0</v>
      </c>
      <c r="Q30" s="0" t="n">
        <f aca="false">IF(A30="二子玉川",1,0)</f>
        <v>0</v>
      </c>
      <c r="R30" s="0" t="n">
        <f aca="false">IF(E30=2021,1,0)</f>
        <v>0</v>
      </c>
      <c r="S30" s="0" t="n">
        <f aca="false">IF(E30=2022,1,0)</f>
        <v>1</v>
      </c>
      <c r="T30" s="0" t="n">
        <f aca="false">IF(E30=2023,1,0)</f>
        <v>0</v>
      </c>
      <c r="U30" s="0" t="n">
        <f aca="false">IF(E30=2024,1,0)</f>
        <v>0</v>
      </c>
    </row>
    <row r="31" customFormat="false" ht="15" hidden="false" customHeight="false" outlineLevel="0" collapsed="false">
      <c r="A31" s="1" t="s">
        <v>9</v>
      </c>
      <c r="B31" s="0" t="n">
        <v>3</v>
      </c>
      <c r="C31" s="0" t="n">
        <v>55</v>
      </c>
      <c r="D31" s="0" t="n">
        <v>1969</v>
      </c>
      <c r="E31" s="0" t="n">
        <v>2021</v>
      </c>
      <c r="F31" s="1" t="s">
        <v>18</v>
      </c>
      <c r="G31" s="0" t="n">
        <v>44000000</v>
      </c>
      <c r="H31" s="0" t="n">
        <f aca="false">LN(G31/C31)</f>
        <v>13.5923670066501</v>
      </c>
      <c r="I31" s="0" t="n">
        <f aca="false">B31</f>
        <v>3</v>
      </c>
      <c r="J31" s="0" t="n">
        <f aca="false">E31-D31</f>
        <v>52</v>
      </c>
      <c r="K31" s="0" t="n">
        <f aca="false">C31</f>
        <v>55</v>
      </c>
      <c r="L31" s="0" t="n">
        <f aca="false">IF(F31="改装済み",1,0)</f>
        <v>1</v>
      </c>
      <c r="M31" s="0" t="n">
        <f aca="false">IF(A31="池尻大橋",1,0)</f>
        <v>1</v>
      </c>
      <c r="N31" s="0" t="n">
        <f aca="false">IF(A31="三軒茶屋",1,0)</f>
        <v>0</v>
      </c>
      <c r="O31" s="0" t="n">
        <f aca="false">IF(A31="駒沢大学",1,0)</f>
        <v>0</v>
      </c>
      <c r="P31" s="0" t="n">
        <f aca="false">IF(A31="桜新町",1,0)</f>
        <v>0</v>
      </c>
      <c r="Q31" s="0" t="n">
        <f aca="false">IF(A31="二子玉川",1,0)</f>
        <v>0</v>
      </c>
      <c r="R31" s="0" t="n">
        <f aca="false">IF(E31=2021,1,0)</f>
        <v>1</v>
      </c>
      <c r="S31" s="0" t="n">
        <f aca="false">IF(E31=2022,1,0)</f>
        <v>0</v>
      </c>
      <c r="T31" s="0" t="n">
        <f aca="false">IF(E31=2023,1,0)</f>
        <v>0</v>
      </c>
      <c r="U31" s="0" t="n">
        <f aca="false">IF(E31=2024,1,0)</f>
        <v>0</v>
      </c>
    </row>
    <row r="32" customFormat="false" ht="15" hidden="false" customHeight="false" outlineLevel="0" collapsed="false">
      <c r="A32" s="1" t="s">
        <v>9</v>
      </c>
      <c r="B32" s="0" t="n">
        <v>10</v>
      </c>
      <c r="C32" s="0" t="n">
        <v>65</v>
      </c>
      <c r="D32" s="0" t="n">
        <v>2004</v>
      </c>
      <c r="E32" s="0" t="n">
        <v>2021</v>
      </c>
      <c r="F32" s="1" t="s">
        <v>19</v>
      </c>
      <c r="G32" s="0" t="n">
        <v>80000000</v>
      </c>
      <c r="H32" s="0" t="n">
        <f aca="false">LN(G32/C32)</f>
        <v>14.0231499227425</v>
      </c>
      <c r="I32" s="0" t="n">
        <f aca="false">B32</f>
        <v>10</v>
      </c>
      <c r="J32" s="0" t="n">
        <f aca="false">E32-D32</f>
        <v>17</v>
      </c>
      <c r="K32" s="0" t="n">
        <f aca="false">C32</f>
        <v>65</v>
      </c>
      <c r="L32" s="0" t="n">
        <f aca="false">IF(F32="改装済み",1,0)</f>
        <v>0</v>
      </c>
      <c r="M32" s="0" t="n">
        <f aca="false">IF(A32="池尻大橋",1,0)</f>
        <v>1</v>
      </c>
      <c r="N32" s="0" t="n">
        <f aca="false">IF(A32="三軒茶屋",1,0)</f>
        <v>0</v>
      </c>
      <c r="O32" s="0" t="n">
        <f aca="false">IF(A32="駒沢大学",1,0)</f>
        <v>0</v>
      </c>
      <c r="P32" s="0" t="n">
        <f aca="false">IF(A32="桜新町",1,0)</f>
        <v>0</v>
      </c>
      <c r="Q32" s="0" t="n">
        <f aca="false">IF(A32="二子玉川",1,0)</f>
        <v>0</v>
      </c>
      <c r="R32" s="0" t="n">
        <f aca="false">IF(E32=2021,1,0)</f>
        <v>1</v>
      </c>
      <c r="S32" s="0" t="n">
        <f aca="false">IF(E32=2022,1,0)</f>
        <v>0</v>
      </c>
      <c r="T32" s="0" t="n">
        <f aca="false">IF(E32=2023,1,0)</f>
        <v>0</v>
      </c>
      <c r="U32" s="0" t="n">
        <f aca="false">IF(E32=2024,1,0)</f>
        <v>0</v>
      </c>
    </row>
    <row r="33" customFormat="false" ht="15" hidden="false" customHeight="false" outlineLevel="0" collapsed="false">
      <c r="A33" s="1" t="s">
        <v>9</v>
      </c>
      <c r="B33" s="0" t="n">
        <v>8</v>
      </c>
      <c r="C33" s="0" t="n">
        <v>160</v>
      </c>
      <c r="D33" s="0" t="n">
        <v>1986</v>
      </c>
      <c r="E33" s="0" t="n">
        <v>2021</v>
      </c>
      <c r="F33" s="1" t="s">
        <v>19</v>
      </c>
      <c r="G33" s="0" t="n">
        <v>130000000</v>
      </c>
      <c r="H33" s="0" t="n">
        <f aca="false">LN(G33/C33)</f>
        <v>13.607871193186</v>
      </c>
      <c r="I33" s="0" t="n">
        <f aca="false">B33</f>
        <v>8</v>
      </c>
      <c r="J33" s="0" t="n">
        <f aca="false">E33-D33</f>
        <v>35</v>
      </c>
      <c r="K33" s="0" t="n">
        <f aca="false">C33</f>
        <v>160</v>
      </c>
      <c r="L33" s="0" t="n">
        <f aca="false">IF(F33="改装済み",1,0)</f>
        <v>0</v>
      </c>
      <c r="M33" s="0" t="n">
        <f aca="false">IF(A33="池尻大橋",1,0)</f>
        <v>1</v>
      </c>
      <c r="N33" s="0" t="n">
        <f aca="false">IF(A33="三軒茶屋",1,0)</f>
        <v>0</v>
      </c>
      <c r="O33" s="0" t="n">
        <f aca="false">IF(A33="駒沢大学",1,0)</f>
        <v>0</v>
      </c>
      <c r="P33" s="0" t="n">
        <f aca="false">IF(A33="桜新町",1,0)</f>
        <v>0</v>
      </c>
      <c r="Q33" s="0" t="n">
        <f aca="false">IF(A33="二子玉川",1,0)</f>
        <v>0</v>
      </c>
      <c r="R33" s="0" t="n">
        <f aca="false">IF(E33=2021,1,0)</f>
        <v>1</v>
      </c>
      <c r="S33" s="0" t="n">
        <f aca="false">IF(E33=2022,1,0)</f>
        <v>0</v>
      </c>
      <c r="T33" s="0" t="n">
        <f aca="false">IF(E33=2023,1,0)</f>
        <v>0</v>
      </c>
      <c r="U33" s="0" t="n">
        <f aca="false">IF(E33=2024,1,0)</f>
        <v>0</v>
      </c>
    </row>
    <row r="34" customFormat="false" ht="15" hidden="false" customHeight="false" outlineLevel="0" collapsed="false">
      <c r="A34" s="1" t="s">
        <v>9</v>
      </c>
      <c r="B34" s="0" t="n">
        <v>7</v>
      </c>
      <c r="C34" s="0" t="n">
        <v>70</v>
      </c>
      <c r="D34" s="0" t="n">
        <v>2012</v>
      </c>
      <c r="E34" s="0" t="n">
        <v>2021</v>
      </c>
      <c r="F34" s="1" t="s">
        <v>19</v>
      </c>
      <c r="G34" s="0" t="n">
        <v>91000000</v>
      </c>
      <c r="H34" s="0" t="n">
        <f aca="false">LN(G34/C34)</f>
        <v>14.0778748224318</v>
      </c>
      <c r="I34" s="0" t="n">
        <f aca="false">B34</f>
        <v>7</v>
      </c>
      <c r="J34" s="0" t="n">
        <f aca="false">E34-D34</f>
        <v>9</v>
      </c>
      <c r="K34" s="0" t="n">
        <f aca="false">C34</f>
        <v>70</v>
      </c>
      <c r="L34" s="0" t="n">
        <f aca="false">IF(F34="改装済み",1,0)</f>
        <v>0</v>
      </c>
      <c r="M34" s="0" t="n">
        <f aca="false">IF(A34="池尻大橋",1,0)</f>
        <v>1</v>
      </c>
      <c r="N34" s="0" t="n">
        <f aca="false">IF(A34="三軒茶屋",1,0)</f>
        <v>0</v>
      </c>
      <c r="O34" s="0" t="n">
        <f aca="false">IF(A34="駒沢大学",1,0)</f>
        <v>0</v>
      </c>
      <c r="P34" s="0" t="n">
        <f aca="false">IF(A34="桜新町",1,0)</f>
        <v>0</v>
      </c>
      <c r="Q34" s="0" t="n">
        <f aca="false">IF(A34="二子玉川",1,0)</f>
        <v>0</v>
      </c>
      <c r="R34" s="0" t="n">
        <f aca="false">IF(E34=2021,1,0)</f>
        <v>1</v>
      </c>
      <c r="S34" s="0" t="n">
        <f aca="false">IF(E34=2022,1,0)</f>
        <v>0</v>
      </c>
      <c r="T34" s="0" t="n">
        <f aca="false">IF(E34=2023,1,0)</f>
        <v>0</v>
      </c>
      <c r="U34" s="0" t="n">
        <f aca="false">IF(E34=2024,1,0)</f>
        <v>0</v>
      </c>
    </row>
    <row r="35" customFormat="false" ht="15" hidden="false" customHeight="false" outlineLevel="0" collapsed="false">
      <c r="A35" s="1" t="s">
        <v>9</v>
      </c>
      <c r="B35" s="0" t="n">
        <v>11</v>
      </c>
      <c r="C35" s="0" t="n">
        <v>55</v>
      </c>
      <c r="D35" s="0" t="n">
        <v>1972</v>
      </c>
      <c r="E35" s="0" t="n">
        <v>2021</v>
      </c>
      <c r="F35" s="1" t="s">
        <v>19</v>
      </c>
      <c r="G35" s="0" t="n">
        <v>47000000</v>
      </c>
      <c r="H35" s="0" t="n">
        <f aca="false">LN(G35/C35)</f>
        <v>13.6583249744419</v>
      </c>
      <c r="I35" s="0" t="n">
        <f aca="false">B35</f>
        <v>11</v>
      </c>
      <c r="J35" s="0" t="n">
        <f aca="false">E35-D35</f>
        <v>49</v>
      </c>
      <c r="K35" s="0" t="n">
        <f aca="false">C35</f>
        <v>55</v>
      </c>
      <c r="L35" s="0" t="n">
        <f aca="false">IF(F35="改装済み",1,0)</f>
        <v>0</v>
      </c>
      <c r="M35" s="0" t="n">
        <f aca="false">IF(A35="池尻大橋",1,0)</f>
        <v>1</v>
      </c>
      <c r="N35" s="0" t="n">
        <f aca="false">IF(A35="三軒茶屋",1,0)</f>
        <v>0</v>
      </c>
      <c r="O35" s="0" t="n">
        <f aca="false">IF(A35="駒沢大学",1,0)</f>
        <v>0</v>
      </c>
      <c r="P35" s="0" t="n">
        <f aca="false">IF(A35="桜新町",1,0)</f>
        <v>0</v>
      </c>
      <c r="Q35" s="0" t="n">
        <f aca="false">IF(A35="二子玉川",1,0)</f>
        <v>0</v>
      </c>
      <c r="R35" s="0" t="n">
        <f aca="false">IF(E35=2021,1,0)</f>
        <v>1</v>
      </c>
      <c r="S35" s="0" t="n">
        <f aca="false">IF(E35=2022,1,0)</f>
        <v>0</v>
      </c>
      <c r="T35" s="0" t="n">
        <f aca="false">IF(E35=2023,1,0)</f>
        <v>0</v>
      </c>
      <c r="U35" s="0" t="n">
        <f aca="false">IF(E35=2024,1,0)</f>
        <v>0</v>
      </c>
    </row>
    <row r="36" customFormat="false" ht="15" hidden="false" customHeight="false" outlineLevel="0" collapsed="false">
      <c r="A36" s="1" t="s">
        <v>9</v>
      </c>
      <c r="B36" s="0" t="n">
        <v>3</v>
      </c>
      <c r="C36" s="0" t="n">
        <v>55</v>
      </c>
      <c r="D36" s="0" t="n">
        <v>1999</v>
      </c>
      <c r="E36" s="0" t="n">
        <v>2021</v>
      </c>
      <c r="F36" s="1" t="s">
        <v>19</v>
      </c>
      <c r="G36" s="0" t="n">
        <v>57000000</v>
      </c>
      <c r="H36" s="0" t="n">
        <f aca="false">LN(G36/C36)</f>
        <v>13.8512286405664</v>
      </c>
      <c r="I36" s="0" t="n">
        <f aca="false">B36</f>
        <v>3</v>
      </c>
      <c r="J36" s="0" t="n">
        <f aca="false">E36-D36</f>
        <v>22</v>
      </c>
      <c r="K36" s="0" t="n">
        <f aca="false">C36</f>
        <v>55</v>
      </c>
      <c r="L36" s="0" t="n">
        <f aca="false">IF(F36="改装済み",1,0)</f>
        <v>0</v>
      </c>
      <c r="M36" s="0" t="n">
        <f aca="false">IF(A36="池尻大橋",1,0)</f>
        <v>1</v>
      </c>
      <c r="N36" s="0" t="n">
        <f aca="false">IF(A36="三軒茶屋",1,0)</f>
        <v>0</v>
      </c>
      <c r="O36" s="0" t="n">
        <f aca="false">IF(A36="駒沢大学",1,0)</f>
        <v>0</v>
      </c>
      <c r="P36" s="0" t="n">
        <f aca="false">IF(A36="桜新町",1,0)</f>
        <v>0</v>
      </c>
      <c r="Q36" s="0" t="n">
        <f aca="false">IF(A36="二子玉川",1,0)</f>
        <v>0</v>
      </c>
      <c r="R36" s="0" t="n">
        <f aca="false">IF(E36=2021,1,0)</f>
        <v>1</v>
      </c>
      <c r="S36" s="0" t="n">
        <f aca="false">IF(E36=2022,1,0)</f>
        <v>0</v>
      </c>
      <c r="T36" s="0" t="n">
        <f aca="false">IF(E36=2023,1,0)</f>
        <v>0</v>
      </c>
      <c r="U36" s="0" t="n">
        <f aca="false">IF(E36=2024,1,0)</f>
        <v>0</v>
      </c>
    </row>
    <row r="37" customFormat="false" ht="15" hidden="false" customHeight="false" outlineLevel="0" collapsed="false">
      <c r="A37" s="1" t="s">
        <v>9</v>
      </c>
      <c r="B37" s="0" t="n">
        <v>8</v>
      </c>
      <c r="C37" s="0" t="n">
        <v>95</v>
      </c>
      <c r="D37" s="0" t="n">
        <v>2008</v>
      </c>
      <c r="E37" s="0" t="n">
        <v>2021</v>
      </c>
      <c r="F37" s="1" t="s">
        <v>19</v>
      </c>
      <c r="G37" s="0" t="n">
        <v>110000000</v>
      </c>
      <c r="H37" s="0" t="n">
        <f aca="false">LN(G37/C37)</f>
        <v>13.9621140321562</v>
      </c>
      <c r="I37" s="0" t="n">
        <f aca="false">B37</f>
        <v>8</v>
      </c>
      <c r="J37" s="0" t="n">
        <f aca="false">E37-D37</f>
        <v>13</v>
      </c>
      <c r="K37" s="0" t="n">
        <f aca="false">C37</f>
        <v>95</v>
      </c>
      <c r="L37" s="0" t="n">
        <f aca="false">IF(F37="改装済み",1,0)</f>
        <v>0</v>
      </c>
      <c r="M37" s="0" t="n">
        <f aca="false">IF(A37="池尻大橋",1,0)</f>
        <v>1</v>
      </c>
      <c r="N37" s="0" t="n">
        <f aca="false">IF(A37="三軒茶屋",1,0)</f>
        <v>0</v>
      </c>
      <c r="O37" s="0" t="n">
        <f aca="false">IF(A37="駒沢大学",1,0)</f>
        <v>0</v>
      </c>
      <c r="P37" s="0" t="n">
        <f aca="false">IF(A37="桜新町",1,0)</f>
        <v>0</v>
      </c>
      <c r="Q37" s="0" t="n">
        <f aca="false">IF(A37="二子玉川",1,0)</f>
        <v>0</v>
      </c>
      <c r="R37" s="0" t="n">
        <f aca="false">IF(E37=2021,1,0)</f>
        <v>1</v>
      </c>
      <c r="S37" s="0" t="n">
        <f aca="false">IF(E37=2022,1,0)</f>
        <v>0</v>
      </c>
      <c r="T37" s="0" t="n">
        <f aca="false">IF(E37=2023,1,0)</f>
        <v>0</v>
      </c>
      <c r="U37" s="0" t="n">
        <f aca="false">IF(E37=2024,1,0)</f>
        <v>0</v>
      </c>
    </row>
    <row r="38" customFormat="false" ht="15" hidden="false" customHeight="false" outlineLevel="0" collapsed="false">
      <c r="A38" s="1" t="s">
        <v>9</v>
      </c>
      <c r="B38" s="0" t="n">
        <v>10</v>
      </c>
      <c r="C38" s="0" t="n">
        <v>65</v>
      </c>
      <c r="D38" s="0" t="n">
        <v>2004</v>
      </c>
      <c r="E38" s="0" t="n">
        <v>2021</v>
      </c>
      <c r="F38" s="1" t="s">
        <v>19</v>
      </c>
      <c r="G38" s="0" t="n">
        <v>71000000</v>
      </c>
      <c r="H38" s="0" t="n">
        <f aca="false">LN(G38/C38)</f>
        <v>13.90380316511</v>
      </c>
      <c r="I38" s="0" t="n">
        <f aca="false">B38</f>
        <v>10</v>
      </c>
      <c r="J38" s="0" t="n">
        <f aca="false">E38-D38</f>
        <v>17</v>
      </c>
      <c r="K38" s="0" t="n">
        <f aca="false">C38</f>
        <v>65</v>
      </c>
      <c r="L38" s="0" t="n">
        <f aca="false">IF(F38="改装済み",1,0)</f>
        <v>0</v>
      </c>
      <c r="M38" s="0" t="n">
        <f aca="false">IF(A38="池尻大橋",1,0)</f>
        <v>1</v>
      </c>
      <c r="N38" s="0" t="n">
        <f aca="false">IF(A38="三軒茶屋",1,0)</f>
        <v>0</v>
      </c>
      <c r="O38" s="0" t="n">
        <f aca="false">IF(A38="駒沢大学",1,0)</f>
        <v>0</v>
      </c>
      <c r="P38" s="0" t="n">
        <f aca="false">IF(A38="桜新町",1,0)</f>
        <v>0</v>
      </c>
      <c r="Q38" s="0" t="n">
        <f aca="false">IF(A38="二子玉川",1,0)</f>
        <v>0</v>
      </c>
      <c r="R38" s="0" t="n">
        <f aca="false">IF(E38=2021,1,0)</f>
        <v>1</v>
      </c>
      <c r="S38" s="0" t="n">
        <f aca="false">IF(E38=2022,1,0)</f>
        <v>0</v>
      </c>
      <c r="T38" s="0" t="n">
        <f aca="false">IF(E38=2023,1,0)</f>
        <v>0</v>
      </c>
      <c r="U38" s="0" t="n">
        <f aca="false">IF(E38=2024,1,0)</f>
        <v>0</v>
      </c>
    </row>
    <row r="39" customFormat="false" ht="15" hidden="false" customHeight="false" outlineLevel="0" collapsed="false">
      <c r="A39" s="1" t="s">
        <v>9</v>
      </c>
      <c r="B39" s="0" t="n">
        <v>4</v>
      </c>
      <c r="C39" s="0" t="n">
        <v>55</v>
      </c>
      <c r="D39" s="0" t="n">
        <v>1999</v>
      </c>
      <c r="E39" s="0" t="n">
        <v>2021</v>
      </c>
      <c r="F39" s="1" t="s">
        <v>19</v>
      </c>
      <c r="G39" s="0" t="n">
        <v>61000000</v>
      </c>
      <c r="H39" s="0" t="n">
        <f aca="false">LN(G39/C39)</f>
        <v>13.9190512369051</v>
      </c>
      <c r="I39" s="0" t="n">
        <f aca="false">B39</f>
        <v>4</v>
      </c>
      <c r="J39" s="0" t="n">
        <f aca="false">E39-D39</f>
        <v>22</v>
      </c>
      <c r="K39" s="0" t="n">
        <f aca="false">C39</f>
        <v>55</v>
      </c>
      <c r="L39" s="0" t="n">
        <f aca="false">IF(F39="改装済み",1,0)</f>
        <v>0</v>
      </c>
      <c r="M39" s="0" t="n">
        <f aca="false">IF(A39="池尻大橋",1,0)</f>
        <v>1</v>
      </c>
      <c r="N39" s="0" t="n">
        <f aca="false">IF(A39="三軒茶屋",1,0)</f>
        <v>0</v>
      </c>
      <c r="O39" s="0" t="n">
        <f aca="false">IF(A39="駒沢大学",1,0)</f>
        <v>0</v>
      </c>
      <c r="P39" s="0" t="n">
        <f aca="false">IF(A39="桜新町",1,0)</f>
        <v>0</v>
      </c>
      <c r="Q39" s="0" t="n">
        <f aca="false">IF(A39="二子玉川",1,0)</f>
        <v>0</v>
      </c>
      <c r="R39" s="0" t="n">
        <f aca="false">IF(E39=2021,1,0)</f>
        <v>1</v>
      </c>
      <c r="S39" s="0" t="n">
        <f aca="false">IF(E39=2022,1,0)</f>
        <v>0</v>
      </c>
      <c r="T39" s="0" t="n">
        <f aca="false">IF(E39=2023,1,0)</f>
        <v>0</v>
      </c>
      <c r="U39" s="0" t="n">
        <f aca="false">IF(E39=2024,1,0)</f>
        <v>0</v>
      </c>
    </row>
    <row r="40" customFormat="false" ht="15" hidden="false" customHeight="false" outlineLevel="0" collapsed="false">
      <c r="A40" s="1" t="s">
        <v>20</v>
      </c>
      <c r="B40" s="0" t="n">
        <v>21</v>
      </c>
      <c r="C40" s="0" t="n">
        <v>55</v>
      </c>
      <c r="D40" s="0" t="n">
        <v>1980</v>
      </c>
      <c r="E40" s="0" t="n">
        <v>2023</v>
      </c>
      <c r="F40" s="1" t="s">
        <v>19</v>
      </c>
      <c r="G40" s="0" t="n">
        <v>24000000</v>
      </c>
      <c r="H40" s="0" t="n">
        <f aca="false">LN(G40/C40)</f>
        <v>12.9862312030797</v>
      </c>
      <c r="I40" s="0" t="n">
        <f aca="false">B40</f>
        <v>21</v>
      </c>
      <c r="J40" s="0" t="n">
        <f aca="false">E40-D40</f>
        <v>43</v>
      </c>
      <c r="K40" s="0" t="n">
        <f aca="false">C40</f>
        <v>55</v>
      </c>
      <c r="L40" s="0" t="n">
        <f aca="false">IF(F40="改装済み",1,0)</f>
        <v>0</v>
      </c>
      <c r="M40" s="0" t="n">
        <f aca="false">IF(A40="池尻大橋",1,0)</f>
        <v>0</v>
      </c>
      <c r="N40" s="0" t="n">
        <f aca="false">IF(A40="三軒茶屋",1,0)</f>
        <v>0</v>
      </c>
      <c r="O40" s="0" t="n">
        <f aca="false">IF(A40="駒沢大学",1,0)</f>
        <v>0</v>
      </c>
      <c r="P40" s="0" t="n">
        <f aca="false">IF(A40="桜新町",1,0)</f>
        <v>0</v>
      </c>
      <c r="Q40" s="0" t="n">
        <f aca="false">IF(A40="二子玉川",1,0)</f>
        <v>0</v>
      </c>
      <c r="R40" s="0" t="n">
        <f aca="false">IF(E40=2021,1,0)</f>
        <v>0</v>
      </c>
      <c r="S40" s="0" t="n">
        <f aca="false">IF(E40=2022,1,0)</f>
        <v>0</v>
      </c>
      <c r="T40" s="0" t="n">
        <f aca="false">IF(E40=2023,1,0)</f>
        <v>1</v>
      </c>
      <c r="U40" s="0" t="n">
        <f aca="false">IF(E40=2024,1,0)</f>
        <v>0</v>
      </c>
    </row>
    <row r="41" customFormat="false" ht="15" hidden="false" customHeight="false" outlineLevel="0" collapsed="false">
      <c r="A41" s="1" t="s">
        <v>13</v>
      </c>
      <c r="B41" s="0" t="n">
        <v>23</v>
      </c>
      <c r="C41" s="0" t="n">
        <v>75</v>
      </c>
      <c r="D41" s="0" t="n">
        <v>2016</v>
      </c>
      <c r="E41" s="0" t="n">
        <v>2025</v>
      </c>
      <c r="F41" s="1" t="s">
        <v>19</v>
      </c>
      <c r="G41" s="0" t="n">
        <v>74000000</v>
      </c>
      <c r="H41" s="0" t="n">
        <f aca="false">LN(G41/C41)</f>
        <v>13.8020875376321</v>
      </c>
      <c r="I41" s="0" t="n">
        <f aca="false">B41</f>
        <v>23</v>
      </c>
      <c r="J41" s="0" t="n">
        <f aca="false">E41-D41</f>
        <v>9</v>
      </c>
      <c r="K41" s="0" t="n">
        <f aca="false">C41</f>
        <v>75</v>
      </c>
      <c r="L41" s="0" t="n">
        <f aca="false">IF(F41="改装済み",1,0)</f>
        <v>0</v>
      </c>
      <c r="M41" s="0" t="n">
        <f aca="false">IF(A41="池尻大橋",1,0)</f>
        <v>0</v>
      </c>
      <c r="N41" s="0" t="n">
        <f aca="false">IF(A41="三軒茶屋",1,0)</f>
        <v>0</v>
      </c>
      <c r="O41" s="0" t="n">
        <f aca="false">IF(A41="駒沢大学",1,0)</f>
        <v>0</v>
      </c>
      <c r="P41" s="0" t="n">
        <f aca="false">IF(A41="桜新町",1,0)</f>
        <v>0</v>
      </c>
      <c r="Q41" s="0" t="n">
        <f aca="false">IF(A41="二子玉川",1,0)</f>
        <v>1</v>
      </c>
      <c r="R41" s="0" t="n">
        <f aca="false">IF(E41=2021,1,0)</f>
        <v>0</v>
      </c>
      <c r="S41" s="0" t="n">
        <f aca="false">IF(E41=2022,1,0)</f>
        <v>0</v>
      </c>
      <c r="T41" s="0" t="n">
        <f aca="false">IF(E41=2023,1,0)</f>
        <v>0</v>
      </c>
      <c r="U41" s="0" t="n">
        <f aca="false">IF(E41=2024,1,0)</f>
        <v>0</v>
      </c>
    </row>
    <row r="42" customFormat="false" ht="15" hidden="false" customHeight="false" outlineLevel="0" collapsed="false">
      <c r="A42" s="1" t="s">
        <v>13</v>
      </c>
      <c r="B42" s="0" t="n">
        <v>20</v>
      </c>
      <c r="C42" s="0" t="n">
        <v>80</v>
      </c>
      <c r="D42" s="0" t="n">
        <v>2014</v>
      </c>
      <c r="E42" s="0" t="n">
        <v>2025</v>
      </c>
      <c r="F42" s="1" t="s">
        <v>19</v>
      </c>
      <c r="G42" s="0" t="n">
        <v>79000000</v>
      </c>
      <c r="H42" s="0" t="n">
        <f aca="false">LN(G42/C42)</f>
        <v>13.8029317757574</v>
      </c>
      <c r="I42" s="0" t="n">
        <f aca="false">B42</f>
        <v>20</v>
      </c>
      <c r="J42" s="0" t="n">
        <f aca="false">E42-D42</f>
        <v>11</v>
      </c>
      <c r="K42" s="0" t="n">
        <f aca="false">C42</f>
        <v>80</v>
      </c>
      <c r="L42" s="0" t="n">
        <f aca="false">IF(F42="改装済み",1,0)</f>
        <v>0</v>
      </c>
      <c r="M42" s="0" t="n">
        <f aca="false">IF(A42="池尻大橋",1,0)</f>
        <v>0</v>
      </c>
      <c r="N42" s="0" t="n">
        <f aca="false">IF(A42="三軒茶屋",1,0)</f>
        <v>0</v>
      </c>
      <c r="O42" s="0" t="n">
        <f aca="false">IF(A42="駒沢大学",1,0)</f>
        <v>0</v>
      </c>
      <c r="P42" s="0" t="n">
        <f aca="false">IF(A42="桜新町",1,0)</f>
        <v>0</v>
      </c>
      <c r="Q42" s="0" t="n">
        <f aca="false">IF(A42="二子玉川",1,0)</f>
        <v>1</v>
      </c>
      <c r="R42" s="0" t="n">
        <f aca="false">IF(E42=2021,1,0)</f>
        <v>0</v>
      </c>
      <c r="S42" s="0" t="n">
        <f aca="false">IF(E42=2022,1,0)</f>
        <v>0</v>
      </c>
      <c r="T42" s="0" t="n">
        <f aca="false">IF(E42=2023,1,0)</f>
        <v>0</v>
      </c>
      <c r="U42" s="0" t="n">
        <f aca="false">IF(E42=2024,1,0)</f>
        <v>0</v>
      </c>
    </row>
    <row r="43" customFormat="false" ht="15" hidden="false" customHeight="false" outlineLevel="0" collapsed="false">
      <c r="A43" s="1" t="s">
        <v>13</v>
      </c>
      <c r="B43" s="0" t="n">
        <v>16</v>
      </c>
      <c r="C43" s="0" t="n">
        <v>85</v>
      </c>
      <c r="D43" s="0" t="n">
        <v>2002</v>
      </c>
      <c r="E43" s="0" t="n">
        <v>2025</v>
      </c>
      <c r="F43" s="1" t="s">
        <v>18</v>
      </c>
      <c r="G43" s="0" t="n">
        <v>100000000</v>
      </c>
      <c r="H43" s="0" t="n">
        <f aca="false">LN(G43/C43)</f>
        <v>13.978029487462</v>
      </c>
      <c r="I43" s="0" t="n">
        <f aca="false">B43</f>
        <v>16</v>
      </c>
      <c r="J43" s="0" t="n">
        <f aca="false">E43-D43</f>
        <v>23</v>
      </c>
      <c r="K43" s="0" t="n">
        <f aca="false">C43</f>
        <v>85</v>
      </c>
      <c r="L43" s="0" t="n">
        <f aca="false">IF(F43="改装済み",1,0)</f>
        <v>1</v>
      </c>
      <c r="M43" s="0" t="n">
        <f aca="false">IF(A43="池尻大橋",1,0)</f>
        <v>0</v>
      </c>
      <c r="N43" s="0" t="n">
        <f aca="false">IF(A43="三軒茶屋",1,0)</f>
        <v>0</v>
      </c>
      <c r="O43" s="0" t="n">
        <f aca="false">IF(A43="駒沢大学",1,0)</f>
        <v>0</v>
      </c>
      <c r="P43" s="0" t="n">
        <f aca="false">IF(A43="桜新町",1,0)</f>
        <v>0</v>
      </c>
      <c r="Q43" s="0" t="n">
        <f aca="false">IF(A43="二子玉川",1,0)</f>
        <v>1</v>
      </c>
      <c r="R43" s="0" t="n">
        <f aca="false">IF(E43=2021,1,0)</f>
        <v>0</v>
      </c>
      <c r="S43" s="0" t="n">
        <f aca="false">IF(E43=2022,1,0)</f>
        <v>0</v>
      </c>
      <c r="T43" s="0" t="n">
        <f aca="false">IF(E43=2023,1,0)</f>
        <v>0</v>
      </c>
      <c r="U43" s="0" t="n">
        <f aca="false">IF(E43=2024,1,0)</f>
        <v>0</v>
      </c>
    </row>
    <row r="44" customFormat="false" ht="15" hidden="false" customHeight="false" outlineLevel="0" collapsed="false">
      <c r="A44" s="1" t="s">
        <v>13</v>
      </c>
      <c r="B44" s="0" t="n">
        <v>23</v>
      </c>
      <c r="C44" s="0" t="n">
        <v>75</v>
      </c>
      <c r="D44" s="0" t="n">
        <v>2016</v>
      </c>
      <c r="E44" s="0" t="n">
        <v>2024</v>
      </c>
      <c r="F44" s="1" t="s">
        <v>19</v>
      </c>
      <c r="G44" s="0" t="n">
        <v>80000000</v>
      </c>
      <c r="H44" s="0" t="n">
        <f aca="false">LN(G44/C44)</f>
        <v>13.8800490791018</v>
      </c>
      <c r="I44" s="0" t="n">
        <f aca="false">B44</f>
        <v>23</v>
      </c>
      <c r="J44" s="0" t="n">
        <f aca="false">E44-D44</f>
        <v>8</v>
      </c>
      <c r="K44" s="0" t="n">
        <f aca="false">C44</f>
        <v>75</v>
      </c>
      <c r="L44" s="0" t="n">
        <f aca="false">IF(F44="改装済み",1,0)</f>
        <v>0</v>
      </c>
      <c r="M44" s="0" t="n">
        <f aca="false">IF(A44="池尻大橋",1,0)</f>
        <v>0</v>
      </c>
      <c r="N44" s="0" t="n">
        <f aca="false">IF(A44="三軒茶屋",1,0)</f>
        <v>0</v>
      </c>
      <c r="O44" s="0" t="n">
        <f aca="false">IF(A44="駒沢大学",1,0)</f>
        <v>0</v>
      </c>
      <c r="P44" s="0" t="n">
        <f aca="false">IF(A44="桜新町",1,0)</f>
        <v>0</v>
      </c>
      <c r="Q44" s="0" t="n">
        <f aca="false">IF(A44="二子玉川",1,0)</f>
        <v>1</v>
      </c>
      <c r="R44" s="0" t="n">
        <f aca="false">IF(E44=2021,1,0)</f>
        <v>0</v>
      </c>
      <c r="S44" s="0" t="n">
        <f aca="false">IF(E44=2022,1,0)</f>
        <v>0</v>
      </c>
      <c r="T44" s="0" t="n">
        <f aca="false">IF(E44=2023,1,0)</f>
        <v>0</v>
      </c>
      <c r="U44" s="0" t="n">
        <f aca="false">IF(E44=2024,1,0)</f>
        <v>1</v>
      </c>
    </row>
    <row r="45" customFormat="false" ht="15" hidden="false" customHeight="false" outlineLevel="0" collapsed="false">
      <c r="A45" s="1" t="s">
        <v>13</v>
      </c>
      <c r="B45" s="0" t="n">
        <v>20</v>
      </c>
      <c r="C45" s="0" t="n">
        <v>65</v>
      </c>
      <c r="D45" s="0" t="n">
        <v>2009</v>
      </c>
      <c r="E45" s="0" t="n">
        <v>2023</v>
      </c>
      <c r="F45" s="1" t="s">
        <v>18</v>
      </c>
      <c r="G45" s="0" t="n">
        <v>63000000</v>
      </c>
      <c r="H45" s="0" t="n">
        <f aca="false">LN(G45/C45)</f>
        <v>13.7842580144602</v>
      </c>
      <c r="I45" s="0" t="n">
        <f aca="false">B45</f>
        <v>20</v>
      </c>
      <c r="J45" s="0" t="n">
        <f aca="false">E45-D45</f>
        <v>14</v>
      </c>
      <c r="K45" s="0" t="n">
        <f aca="false">C45</f>
        <v>65</v>
      </c>
      <c r="L45" s="0" t="n">
        <f aca="false">IF(F45="改装済み",1,0)</f>
        <v>1</v>
      </c>
      <c r="M45" s="0" t="n">
        <f aca="false">IF(A45="池尻大橋",1,0)</f>
        <v>0</v>
      </c>
      <c r="N45" s="0" t="n">
        <f aca="false">IF(A45="三軒茶屋",1,0)</f>
        <v>0</v>
      </c>
      <c r="O45" s="0" t="n">
        <f aca="false">IF(A45="駒沢大学",1,0)</f>
        <v>0</v>
      </c>
      <c r="P45" s="0" t="n">
        <f aca="false">IF(A45="桜新町",1,0)</f>
        <v>0</v>
      </c>
      <c r="Q45" s="0" t="n">
        <f aca="false">IF(A45="二子玉川",1,0)</f>
        <v>1</v>
      </c>
      <c r="R45" s="0" t="n">
        <f aca="false">IF(E45=2021,1,0)</f>
        <v>0</v>
      </c>
      <c r="S45" s="0" t="n">
        <f aca="false">IF(E45=2022,1,0)</f>
        <v>0</v>
      </c>
      <c r="T45" s="0" t="n">
        <f aca="false">IF(E45=2023,1,0)</f>
        <v>1</v>
      </c>
      <c r="U45" s="0" t="n">
        <f aca="false">IF(E45=2024,1,0)</f>
        <v>0</v>
      </c>
    </row>
    <row r="46" customFormat="false" ht="15" hidden="false" customHeight="false" outlineLevel="0" collapsed="false">
      <c r="A46" s="1" t="s">
        <v>13</v>
      </c>
      <c r="B46" s="0" t="n">
        <v>24</v>
      </c>
      <c r="C46" s="0" t="n">
        <v>165</v>
      </c>
      <c r="D46" s="0" t="n">
        <v>2001</v>
      </c>
      <c r="E46" s="0" t="n">
        <v>2023</v>
      </c>
      <c r="F46" s="1" t="s">
        <v>19</v>
      </c>
      <c r="G46" s="0" t="n">
        <v>160000000</v>
      </c>
      <c r="H46" s="0" t="n">
        <f aca="false">LN(G46/C46)</f>
        <v>13.7847388992975</v>
      </c>
      <c r="I46" s="0" t="n">
        <f aca="false">B46</f>
        <v>24</v>
      </c>
      <c r="J46" s="0" t="n">
        <f aca="false">E46-D46</f>
        <v>22</v>
      </c>
      <c r="K46" s="0" t="n">
        <f aca="false">C46</f>
        <v>165</v>
      </c>
      <c r="L46" s="0" t="n">
        <f aca="false">IF(F46="改装済み",1,0)</f>
        <v>0</v>
      </c>
      <c r="M46" s="0" t="n">
        <f aca="false">IF(A46="池尻大橋",1,0)</f>
        <v>0</v>
      </c>
      <c r="N46" s="0" t="n">
        <f aca="false">IF(A46="三軒茶屋",1,0)</f>
        <v>0</v>
      </c>
      <c r="O46" s="0" t="n">
        <f aca="false">IF(A46="駒沢大学",1,0)</f>
        <v>0</v>
      </c>
      <c r="P46" s="0" t="n">
        <f aca="false">IF(A46="桜新町",1,0)</f>
        <v>0</v>
      </c>
      <c r="Q46" s="0" t="n">
        <f aca="false">IF(A46="二子玉川",1,0)</f>
        <v>1</v>
      </c>
      <c r="R46" s="0" t="n">
        <f aca="false">IF(E46=2021,1,0)</f>
        <v>0</v>
      </c>
      <c r="S46" s="0" t="n">
        <f aca="false">IF(E46=2022,1,0)</f>
        <v>0</v>
      </c>
      <c r="T46" s="0" t="n">
        <f aca="false">IF(E46=2023,1,0)</f>
        <v>1</v>
      </c>
      <c r="U46" s="0" t="n">
        <f aca="false">IF(E46=2024,1,0)</f>
        <v>0</v>
      </c>
    </row>
    <row r="47" customFormat="false" ht="15" hidden="false" customHeight="false" outlineLevel="0" collapsed="false">
      <c r="A47" s="1" t="s">
        <v>13</v>
      </c>
      <c r="B47" s="0" t="n">
        <v>28</v>
      </c>
      <c r="C47" s="0" t="n">
        <v>75</v>
      </c>
      <c r="D47" s="0" t="n">
        <v>2006</v>
      </c>
      <c r="E47" s="0" t="n">
        <v>2022</v>
      </c>
      <c r="F47" s="1" t="s">
        <v>19</v>
      </c>
      <c r="G47" s="0" t="n">
        <v>88000000</v>
      </c>
      <c r="H47" s="0" t="n">
        <f aca="false">LN(G47/C47)</f>
        <v>13.9753592589062</v>
      </c>
      <c r="I47" s="0" t="n">
        <f aca="false">B47</f>
        <v>28</v>
      </c>
      <c r="J47" s="0" t="n">
        <f aca="false">E47-D47</f>
        <v>16</v>
      </c>
      <c r="K47" s="0" t="n">
        <f aca="false">C47</f>
        <v>75</v>
      </c>
      <c r="L47" s="0" t="n">
        <f aca="false">IF(F47="改装済み",1,0)</f>
        <v>0</v>
      </c>
      <c r="M47" s="0" t="n">
        <f aca="false">IF(A47="池尻大橋",1,0)</f>
        <v>0</v>
      </c>
      <c r="N47" s="0" t="n">
        <f aca="false">IF(A47="三軒茶屋",1,0)</f>
        <v>0</v>
      </c>
      <c r="O47" s="0" t="n">
        <f aca="false">IF(A47="駒沢大学",1,0)</f>
        <v>0</v>
      </c>
      <c r="P47" s="0" t="n">
        <f aca="false">IF(A47="桜新町",1,0)</f>
        <v>0</v>
      </c>
      <c r="Q47" s="0" t="n">
        <f aca="false">IF(A47="二子玉川",1,0)</f>
        <v>1</v>
      </c>
      <c r="R47" s="0" t="n">
        <f aca="false">IF(E47=2021,1,0)</f>
        <v>0</v>
      </c>
      <c r="S47" s="0" t="n">
        <f aca="false">IF(E47=2022,1,0)</f>
        <v>1</v>
      </c>
      <c r="T47" s="0" t="n">
        <f aca="false">IF(E47=2023,1,0)</f>
        <v>0</v>
      </c>
      <c r="U47" s="0" t="n">
        <f aca="false">IF(E47=2024,1,0)</f>
        <v>0</v>
      </c>
    </row>
    <row r="48" customFormat="false" ht="15" hidden="false" customHeight="false" outlineLevel="0" collapsed="false">
      <c r="A48" s="1" t="s">
        <v>13</v>
      </c>
      <c r="B48" s="0" t="n">
        <v>20</v>
      </c>
      <c r="C48" s="0" t="n">
        <v>80</v>
      </c>
      <c r="D48" s="0" t="n">
        <v>2014</v>
      </c>
      <c r="E48" s="0" t="n">
        <v>2022</v>
      </c>
      <c r="F48" s="1" t="s">
        <v>19</v>
      </c>
      <c r="G48" s="0" t="n">
        <v>74000000</v>
      </c>
      <c r="H48" s="0" t="n">
        <f aca="false">LN(G48/C48)</f>
        <v>13.7375490164946</v>
      </c>
      <c r="I48" s="0" t="n">
        <f aca="false">B48</f>
        <v>20</v>
      </c>
      <c r="J48" s="0" t="n">
        <f aca="false">E48-D48</f>
        <v>8</v>
      </c>
      <c r="K48" s="0" t="n">
        <f aca="false">C48</f>
        <v>80</v>
      </c>
      <c r="L48" s="0" t="n">
        <f aca="false">IF(F48="改装済み",1,0)</f>
        <v>0</v>
      </c>
      <c r="M48" s="0" t="n">
        <f aca="false">IF(A48="池尻大橋",1,0)</f>
        <v>0</v>
      </c>
      <c r="N48" s="0" t="n">
        <f aca="false">IF(A48="三軒茶屋",1,0)</f>
        <v>0</v>
      </c>
      <c r="O48" s="0" t="n">
        <f aca="false">IF(A48="駒沢大学",1,0)</f>
        <v>0</v>
      </c>
      <c r="P48" s="0" t="n">
        <f aca="false">IF(A48="桜新町",1,0)</f>
        <v>0</v>
      </c>
      <c r="Q48" s="0" t="n">
        <f aca="false">IF(A48="二子玉川",1,0)</f>
        <v>1</v>
      </c>
      <c r="R48" s="0" t="n">
        <f aca="false">IF(E48=2021,1,0)</f>
        <v>0</v>
      </c>
      <c r="S48" s="0" t="n">
        <f aca="false">IF(E48=2022,1,0)</f>
        <v>1</v>
      </c>
      <c r="T48" s="0" t="n">
        <f aca="false">IF(E48=2023,1,0)</f>
        <v>0</v>
      </c>
      <c r="U48" s="0" t="n">
        <f aca="false">IF(E48=2024,1,0)</f>
        <v>0</v>
      </c>
    </row>
    <row r="49" customFormat="false" ht="15" hidden="false" customHeight="false" outlineLevel="0" collapsed="false">
      <c r="A49" s="1" t="s">
        <v>13</v>
      </c>
      <c r="B49" s="0" t="n">
        <v>20</v>
      </c>
      <c r="C49" s="0" t="n">
        <v>85</v>
      </c>
      <c r="D49" s="0" t="n">
        <v>2014</v>
      </c>
      <c r="E49" s="0" t="n">
        <v>2022</v>
      </c>
      <c r="F49" s="1" t="s">
        <v>19</v>
      </c>
      <c r="G49" s="0" t="n">
        <v>75000000</v>
      </c>
      <c r="H49" s="0" t="n">
        <f aca="false">LN(G49/C49)</f>
        <v>13.6903474150103</v>
      </c>
      <c r="I49" s="0" t="n">
        <f aca="false">B49</f>
        <v>20</v>
      </c>
      <c r="J49" s="0" t="n">
        <f aca="false">E49-D49</f>
        <v>8</v>
      </c>
      <c r="K49" s="0" t="n">
        <f aca="false">C49</f>
        <v>85</v>
      </c>
      <c r="L49" s="0" t="n">
        <f aca="false">IF(F49="改装済み",1,0)</f>
        <v>0</v>
      </c>
      <c r="M49" s="0" t="n">
        <f aca="false">IF(A49="池尻大橋",1,0)</f>
        <v>0</v>
      </c>
      <c r="N49" s="0" t="n">
        <f aca="false">IF(A49="三軒茶屋",1,0)</f>
        <v>0</v>
      </c>
      <c r="O49" s="0" t="n">
        <f aca="false">IF(A49="駒沢大学",1,0)</f>
        <v>0</v>
      </c>
      <c r="P49" s="0" t="n">
        <f aca="false">IF(A49="桜新町",1,0)</f>
        <v>0</v>
      </c>
      <c r="Q49" s="0" t="n">
        <f aca="false">IF(A49="二子玉川",1,0)</f>
        <v>1</v>
      </c>
      <c r="R49" s="0" t="n">
        <f aca="false">IF(E49=2021,1,0)</f>
        <v>0</v>
      </c>
      <c r="S49" s="0" t="n">
        <f aca="false">IF(E49=2022,1,0)</f>
        <v>1</v>
      </c>
      <c r="T49" s="0" t="n">
        <f aca="false">IF(E49=2023,1,0)</f>
        <v>0</v>
      </c>
      <c r="U49" s="0" t="n">
        <f aca="false">IF(E49=2024,1,0)</f>
        <v>0</v>
      </c>
    </row>
    <row r="50" customFormat="false" ht="15" hidden="false" customHeight="false" outlineLevel="0" collapsed="false">
      <c r="A50" s="1" t="s">
        <v>13</v>
      </c>
      <c r="B50" s="0" t="n">
        <v>20</v>
      </c>
      <c r="C50" s="0" t="n">
        <v>70</v>
      </c>
      <c r="D50" s="0" t="n">
        <v>2014</v>
      </c>
      <c r="E50" s="0" t="n">
        <v>2021</v>
      </c>
      <c r="F50" s="1" t="s">
        <v>19</v>
      </c>
      <c r="G50" s="0" t="n">
        <v>52000000</v>
      </c>
      <c r="H50" s="0" t="n">
        <f aca="false">LN(G50/C50)</f>
        <v>13.5182590344963</v>
      </c>
      <c r="I50" s="0" t="n">
        <f aca="false">B50</f>
        <v>20</v>
      </c>
      <c r="J50" s="0" t="n">
        <f aca="false">E50-D50</f>
        <v>7</v>
      </c>
      <c r="K50" s="0" t="n">
        <f aca="false">C50</f>
        <v>70</v>
      </c>
      <c r="L50" s="0" t="n">
        <f aca="false">IF(F50="改装済み",1,0)</f>
        <v>0</v>
      </c>
      <c r="M50" s="0" t="n">
        <f aca="false">IF(A50="池尻大橋",1,0)</f>
        <v>0</v>
      </c>
      <c r="N50" s="0" t="n">
        <f aca="false">IF(A50="三軒茶屋",1,0)</f>
        <v>0</v>
      </c>
      <c r="O50" s="0" t="n">
        <f aca="false">IF(A50="駒沢大学",1,0)</f>
        <v>0</v>
      </c>
      <c r="P50" s="0" t="n">
        <f aca="false">IF(A50="桜新町",1,0)</f>
        <v>0</v>
      </c>
      <c r="Q50" s="0" t="n">
        <f aca="false">IF(A50="二子玉川",1,0)</f>
        <v>1</v>
      </c>
      <c r="R50" s="0" t="n">
        <f aca="false">IF(E50=2021,1,0)</f>
        <v>1</v>
      </c>
      <c r="S50" s="0" t="n">
        <f aca="false">IF(E50=2022,1,0)</f>
        <v>0</v>
      </c>
      <c r="T50" s="0" t="n">
        <f aca="false">IF(E50=2023,1,0)</f>
        <v>0</v>
      </c>
      <c r="U50" s="0" t="n">
        <f aca="false">IF(E50=2024,1,0)</f>
        <v>0</v>
      </c>
    </row>
    <row r="51" customFormat="false" ht="15" hidden="false" customHeight="false" outlineLevel="0" collapsed="false">
      <c r="A51" s="1" t="s">
        <v>13</v>
      </c>
      <c r="B51" s="0" t="n">
        <v>18</v>
      </c>
      <c r="C51" s="0" t="n">
        <v>95</v>
      </c>
      <c r="D51" s="0" t="n">
        <v>2002</v>
      </c>
      <c r="E51" s="0" t="n">
        <v>2021</v>
      </c>
      <c r="F51" s="1" t="s">
        <v>19</v>
      </c>
      <c r="G51" s="0" t="n">
        <v>66000000</v>
      </c>
      <c r="H51" s="0" t="n">
        <f aca="false">LN(G51/C51)</f>
        <v>13.4512884083902</v>
      </c>
      <c r="I51" s="0" t="n">
        <f aca="false">B51</f>
        <v>18</v>
      </c>
      <c r="J51" s="0" t="n">
        <f aca="false">E51-D51</f>
        <v>19</v>
      </c>
      <c r="K51" s="0" t="n">
        <f aca="false">C51</f>
        <v>95</v>
      </c>
      <c r="L51" s="0" t="n">
        <f aca="false">IF(F51="改装済み",1,0)</f>
        <v>0</v>
      </c>
      <c r="M51" s="0" t="n">
        <f aca="false">IF(A51="池尻大橋",1,0)</f>
        <v>0</v>
      </c>
      <c r="N51" s="0" t="n">
        <f aca="false">IF(A51="三軒茶屋",1,0)</f>
        <v>0</v>
      </c>
      <c r="O51" s="0" t="n">
        <f aca="false">IF(A51="駒沢大学",1,0)</f>
        <v>0</v>
      </c>
      <c r="P51" s="0" t="n">
        <f aca="false">IF(A51="桜新町",1,0)</f>
        <v>0</v>
      </c>
      <c r="Q51" s="0" t="n">
        <f aca="false">IF(A51="二子玉川",1,0)</f>
        <v>1</v>
      </c>
      <c r="R51" s="0" t="n">
        <f aca="false">IF(E51=2021,1,0)</f>
        <v>1</v>
      </c>
      <c r="S51" s="0" t="n">
        <f aca="false">IF(E51=2022,1,0)</f>
        <v>0</v>
      </c>
      <c r="T51" s="0" t="n">
        <f aca="false">IF(E51=2023,1,0)</f>
        <v>0</v>
      </c>
      <c r="U51" s="0" t="n">
        <f aca="false">IF(E51=2024,1,0)</f>
        <v>0</v>
      </c>
    </row>
    <row r="52" customFormat="false" ht="15" hidden="false" customHeight="false" outlineLevel="0" collapsed="false">
      <c r="A52" s="1" t="s">
        <v>20</v>
      </c>
      <c r="B52" s="0" t="n">
        <v>14</v>
      </c>
      <c r="C52" s="0" t="n">
        <v>65</v>
      </c>
      <c r="D52" s="0" t="n">
        <v>2010</v>
      </c>
      <c r="E52" s="0" t="n">
        <v>2025</v>
      </c>
      <c r="F52" s="1" t="s">
        <v>18</v>
      </c>
      <c r="G52" s="0" t="n">
        <v>97000000</v>
      </c>
      <c r="H52" s="0" t="n">
        <f aca="false">LN(G52/C52)</f>
        <v>14.215834266572</v>
      </c>
      <c r="I52" s="0" t="n">
        <f aca="false">B52</f>
        <v>14</v>
      </c>
      <c r="J52" s="0" t="n">
        <f aca="false">E52-D52</f>
        <v>15</v>
      </c>
      <c r="K52" s="0" t="n">
        <f aca="false">C52</f>
        <v>65</v>
      </c>
      <c r="L52" s="0" t="n">
        <f aca="false">IF(F52="改装済み",1,0)</f>
        <v>1</v>
      </c>
      <c r="M52" s="0" t="n">
        <f aca="false">IF(A52="池尻大橋",1,0)</f>
        <v>0</v>
      </c>
      <c r="N52" s="0" t="n">
        <f aca="false">IF(A52="三軒茶屋",1,0)</f>
        <v>0</v>
      </c>
      <c r="O52" s="0" t="n">
        <f aca="false">IF(A52="駒沢大学",1,0)</f>
        <v>0</v>
      </c>
      <c r="P52" s="0" t="n">
        <f aca="false">IF(A52="桜新町",1,0)</f>
        <v>0</v>
      </c>
      <c r="Q52" s="0" t="n">
        <f aca="false">IF(A52="二子玉川",1,0)</f>
        <v>0</v>
      </c>
      <c r="R52" s="0" t="n">
        <f aca="false">IF(E52=2021,1,0)</f>
        <v>0</v>
      </c>
      <c r="S52" s="0" t="n">
        <f aca="false">IF(E52=2022,1,0)</f>
        <v>0</v>
      </c>
      <c r="T52" s="0" t="n">
        <f aca="false">IF(E52=2023,1,0)</f>
        <v>0</v>
      </c>
      <c r="U52" s="0" t="n">
        <f aca="false">IF(E52=2024,1,0)</f>
        <v>0</v>
      </c>
    </row>
    <row r="53" customFormat="false" ht="15" hidden="false" customHeight="false" outlineLevel="0" collapsed="false">
      <c r="A53" s="1" t="s">
        <v>20</v>
      </c>
      <c r="B53" s="0" t="n">
        <v>28</v>
      </c>
      <c r="C53" s="0" t="n">
        <v>65</v>
      </c>
      <c r="D53" s="0" t="n">
        <v>1978</v>
      </c>
      <c r="E53" s="0" t="n">
        <v>2025</v>
      </c>
      <c r="F53" s="1" t="s">
        <v>18</v>
      </c>
      <c r="G53" s="0" t="n">
        <v>30000000</v>
      </c>
      <c r="H53" s="0" t="n">
        <f aca="false">LN(G53/C53)</f>
        <v>13.0423206697308</v>
      </c>
      <c r="I53" s="0" t="n">
        <f aca="false">B53</f>
        <v>28</v>
      </c>
      <c r="J53" s="0" t="n">
        <f aca="false">E53-D53</f>
        <v>47</v>
      </c>
      <c r="K53" s="0" t="n">
        <f aca="false">C53</f>
        <v>65</v>
      </c>
      <c r="L53" s="0" t="n">
        <f aca="false">IF(F53="改装済み",1,0)</f>
        <v>1</v>
      </c>
      <c r="M53" s="0" t="n">
        <f aca="false">IF(A53="池尻大橋",1,0)</f>
        <v>0</v>
      </c>
      <c r="N53" s="0" t="n">
        <f aca="false">IF(A53="三軒茶屋",1,0)</f>
        <v>0</v>
      </c>
      <c r="O53" s="0" t="n">
        <f aca="false">IF(A53="駒沢大学",1,0)</f>
        <v>0</v>
      </c>
      <c r="P53" s="0" t="n">
        <f aca="false">IF(A53="桜新町",1,0)</f>
        <v>0</v>
      </c>
      <c r="Q53" s="0" t="n">
        <f aca="false">IF(A53="二子玉川",1,0)</f>
        <v>0</v>
      </c>
      <c r="R53" s="0" t="n">
        <f aca="false">IF(E53=2021,1,0)</f>
        <v>0</v>
      </c>
      <c r="S53" s="0" t="n">
        <f aca="false">IF(E53=2022,1,0)</f>
        <v>0</v>
      </c>
      <c r="T53" s="0" t="n">
        <f aca="false">IF(E53=2023,1,0)</f>
        <v>0</v>
      </c>
      <c r="U53" s="0" t="n">
        <f aca="false">IF(E53=2024,1,0)</f>
        <v>0</v>
      </c>
    </row>
    <row r="54" customFormat="false" ht="15" hidden="false" customHeight="false" outlineLevel="0" collapsed="false">
      <c r="A54" s="1" t="s">
        <v>20</v>
      </c>
      <c r="B54" s="0" t="n">
        <v>14</v>
      </c>
      <c r="C54" s="0" t="n">
        <v>80</v>
      </c>
      <c r="D54" s="0" t="n">
        <v>2010</v>
      </c>
      <c r="E54" s="0" t="n">
        <v>2024</v>
      </c>
      <c r="F54" s="1" t="s">
        <v>19</v>
      </c>
      <c r="G54" s="0" t="n">
        <v>120000000</v>
      </c>
      <c r="H54" s="0" t="n">
        <f aca="false">LN(G54/C54)</f>
        <v>14.2209756660724</v>
      </c>
      <c r="I54" s="0" t="n">
        <f aca="false">B54</f>
        <v>14</v>
      </c>
      <c r="J54" s="0" t="n">
        <f aca="false">E54-D54</f>
        <v>14</v>
      </c>
      <c r="K54" s="0" t="n">
        <f aca="false">C54</f>
        <v>80</v>
      </c>
      <c r="L54" s="0" t="n">
        <f aca="false">IF(F54="改装済み",1,0)</f>
        <v>0</v>
      </c>
      <c r="M54" s="0" t="n">
        <f aca="false">IF(A54="池尻大橋",1,0)</f>
        <v>0</v>
      </c>
      <c r="N54" s="0" t="n">
        <f aca="false">IF(A54="三軒茶屋",1,0)</f>
        <v>0</v>
      </c>
      <c r="O54" s="0" t="n">
        <f aca="false">IF(A54="駒沢大学",1,0)</f>
        <v>0</v>
      </c>
      <c r="P54" s="0" t="n">
        <f aca="false">IF(A54="桜新町",1,0)</f>
        <v>0</v>
      </c>
      <c r="Q54" s="0" t="n">
        <f aca="false">IF(A54="二子玉川",1,0)</f>
        <v>0</v>
      </c>
      <c r="R54" s="0" t="n">
        <f aca="false">IF(E54=2021,1,0)</f>
        <v>0</v>
      </c>
      <c r="S54" s="0" t="n">
        <f aca="false">IF(E54=2022,1,0)</f>
        <v>0</v>
      </c>
      <c r="T54" s="0" t="n">
        <f aca="false">IF(E54=2023,1,0)</f>
        <v>0</v>
      </c>
      <c r="U54" s="0" t="n">
        <f aca="false">IF(E54=2024,1,0)</f>
        <v>1</v>
      </c>
    </row>
    <row r="55" customFormat="false" ht="15" hidden="false" customHeight="false" outlineLevel="0" collapsed="false">
      <c r="A55" s="1" t="s">
        <v>20</v>
      </c>
      <c r="B55" s="0" t="n">
        <v>26</v>
      </c>
      <c r="C55" s="0" t="n">
        <v>95</v>
      </c>
      <c r="D55" s="0" t="n">
        <v>1988</v>
      </c>
      <c r="E55" s="0" t="n">
        <v>2024</v>
      </c>
      <c r="F55" s="1" t="s">
        <v>18</v>
      </c>
      <c r="G55" s="0" t="n">
        <v>65000000</v>
      </c>
      <c r="H55" s="0" t="n">
        <f aca="false">LN(G55/C55)</f>
        <v>13.4360209362594</v>
      </c>
      <c r="I55" s="0" t="n">
        <f aca="false">B55</f>
        <v>26</v>
      </c>
      <c r="J55" s="0" t="n">
        <f aca="false">E55-D55</f>
        <v>36</v>
      </c>
      <c r="K55" s="0" t="n">
        <f aca="false">C55</f>
        <v>95</v>
      </c>
      <c r="L55" s="0" t="n">
        <f aca="false">IF(F55="改装済み",1,0)</f>
        <v>1</v>
      </c>
      <c r="M55" s="0" t="n">
        <f aca="false">IF(A55="池尻大橋",1,0)</f>
        <v>0</v>
      </c>
      <c r="N55" s="0" t="n">
        <f aca="false">IF(A55="三軒茶屋",1,0)</f>
        <v>0</v>
      </c>
      <c r="O55" s="0" t="n">
        <f aca="false">IF(A55="駒沢大学",1,0)</f>
        <v>0</v>
      </c>
      <c r="P55" s="0" t="n">
        <f aca="false">IF(A55="桜新町",1,0)</f>
        <v>0</v>
      </c>
      <c r="Q55" s="0" t="n">
        <f aca="false">IF(A55="二子玉川",1,0)</f>
        <v>0</v>
      </c>
      <c r="R55" s="0" t="n">
        <f aca="false">IF(E55=2021,1,0)</f>
        <v>0</v>
      </c>
      <c r="S55" s="0" t="n">
        <f aca="false">IF(E55=2022,1,0)</f>
        <v>0</v>
      </c>
      <c r="T55" s="0" t="n">
        <f aca="false">IF(E55=2023,1,0)</f>
        <v>0</v>
      </c>
      <c r="U55" s="0" t="n">
        <f aca="false">IF(E55=2024,1,0)</f>
        <v>1</v>
      </c>
    </row>
    <row r="56" customFormat="false" ht="15" hidden="false" customHeight="false" outlineLevel="0" collapsed="false">
      <c r="A56" s="1" t="s">
        <v>20</v>
      </c>
      <c r="B56" s="0" t="n">
        <v>21</v>
      </c>
      <c r="C56" s="0" t="n">
        <v>50</v>
      </c>
      <c r="D56" s="0" t="n">
        <v>1986</v>
      </c>
      <c r="E56" s="0" t="n">
        <v>2023</v>
      </c>
      <c r="F56" s="1" t="s">
        <v>18</v>
      </c>
      <c r="G56" s="0" t="n">
        <v>36000000</v>
      </c>
      <c r="H56" s="0" t="n">
        <f aca="false">LN(G56/C56)</f>
        <v>13.4870064909922</v>
      </c>
      <c r="I56" s="0" t="n">
        <f aca="false">B56</f>
        <v>21</v>
      </c>
      <c r="J56" s="0" t="n">
        <f aca="false">E56-D56</f>
        <v>37</v>
      </c>
      <c r="K56" s="0" t="n">
        <f aca="false">C56</f>
        <v>50</v>
      </c>
      <c r="L56" s="0" t="n">
        <f aca="false">IF(F56="改装済み",1,0)</f>
        <v>1</v>
      </c>
      <c r="M56" s="0" t="n">
        <f aca="false">IF(A56="池尻大橋",1,0)</f>
        <v>0</v>
      </c>
      <c r="N56" s="0" t="n">
        <f aca="false">IF(A56="三軒茶屋",1,0)</f>
        <v>0</v>
      </c>
      <c r="O56" s="0" t="n">
        <f aca="false">IF(A56="駒沢大学",1,0)</f>
        <v>0</v>
      </c>
      <c r="P56" s="0" t="n">
        <f aca="false">IF(A56="桜新町",1,0)</f>
        <v>0</v>
      </c>
      <c r="Q56" s="0" t="n">
        <f aca="false">IF(A56="二子玉川",1,0)</f>
        <v>0</v>
      </c>
      <c r="R56" s="0" t="n">
        <f aca="false">IF(E56=2021,1,0)</f>
        <v>0</v>
      </c>
      <c r="S56" s="0" t="n">
        <f aca="false">IF(E56=2022,1,0)</f>
        <v>0</v>
      </c>
      <c r="T56" s="0" t="n">
        <f aca="false">IF(E56=2023,1,0)</f>
        <v>1</v>
      </c>
      <c r="U56" s="0" t="n">
        <f aca="false">IF(E56=2024,1,0)</f>
        <v>0</v>
      </c>
    </row>
    <row r="57" customFormat="false" ht="15" hidden="false" customHeight="false" outlineLevel="0" collapsed="false">
      <c r="A57" s="1" t="s">
        <v>20</v>
      </c>
      <c r="B57" s="0" t="n">
        <v>21</v>
      </c>
      <c r="C57" s="0" t="n">
        <v>50</v>
      </c>
      <c r="D57" s="0" t="n">
        <v>1986</v>
      </c>
      <c r="E57" s="0" t="n">
        <v>2022</v>
      </c>
      <c r="F57" s="1" t="s">
        <v>19</v>
      </c>
      <c r="G57" s="0" t="n">
        <v>25000000</v>
      </c>
      <c r="H57" s="0" t="n">
        <f aca="false">LN(G57/C57)</f>
        <v>13.1223633774043</v>
      </c>
      <c r="I57" s="0" t="n">
        <f aca="false">B57</f>
        <v>21</v>
      </c>
      <c r="J57" s="0" t="n">
        <f aca="false">E57-D57</f>
        <v>36</v>
      </c>
      <c r="K57" s="0" t="n">
        <f aca="false">C57</f>
        <v>50</v>
      </c>
      <c r="L57" s="0" t="n">
        <f aca="false">IF(F57="改装済み",1,0)</f>
        <v>0</v>
      </c>
      <c r="M57" s="0" t="n">
        <f aca="false">IF(A57="池尻大橋",1,0)</f>
        <v>0</v>
      </c>
      <c r="N57" s="0" t="n">
        <f aca="false">IF(A57="三軒茶屋",1,0)</f>
        <v>0</v>
      </c>
      <c r="O57" s="0" t="n">
        <f aca="false">IF(A57="駒沢大学",1,0)</f>
        <v>0</v>
      </c>
      <c r="P57" s="0" t="n">
        <f aca="false">IF(A57="桜新町",1,0)</f>
        <v>0</v>
      </c>
      <c r="Q57" s="0" t="n">
        <f aca="false">IF(A57="二子玉川",1,0)</f>
        <v>0</v>
      </c>
      <c r="R57" s="0" t="n">
        <f aca="false">IF(E57=2021,1,0)</f>
        <v>0</v>
      </c>
      <c r="S57" s="0" t="n">
        <f aca="false">IF(E57=2022,1,0)</f>
        <v>1</v>
      </c>
      <c r="T57" s="0" t="n">
        <f aca="false">IF(E57=2023,1,0)</f>
        <v>0</v>
      </c>
      <c r="U57" s="0" t="n">
        <f aca="false">IF(E57=2024,1,0)</f>
        <v>0</v>
      </c>
    </row>
    <row r="58" customFormat="false" ht="15" hidden="false" customHeight="false" outlineLevel="0" collapsed="false">
      <c r="A58" s="1" t="s">
        <v>20</v>
      </c>
      <c r="B58" s="0" t="n">
        <v>17</v>
      </c>
      <c r="C58" s="0" t="n">
        <v>95</v>
      </c>
      <c r="D58" s="0" t="n">
        <v>1985</v>
      </c>
      <c r="E58" s="0" t="n">
        <v>2022</v>
      </c>
      <c r="F58" s="1" t="s">
        <v>18</v>
      </c>
      <c r="G58" s="0" t="n">
        <v>99000000</v>
      </c>
      <c r="H58" s="0" t="n">
        <f aca="false">LN(G58/C58)</f>
        <v>13.8567535164983</v>
      </c>
      <c r="I58" s="0" t="n">
        <f aca="false">B58</f>
        <v>17</v>
      </c>
      <c r="J58" s="0" t="n">
        <f aca="false">E58-D58</f>
        <v>37</v>
      </c>
      <c r="K58" s="0" t="n">
        <f aca="false">C58</f>
        <v>95</v>
      </c>
      <c r="L58" s="0" t="n">
        <f aca="false">IF(F58="改装済み",1,0)</f>
        <v>1</v>
      </c>
      <c r="M58" s="0" t="n">
        <f aca="false">IF(A58="池尻大橋",1,0)</f>
        <v>0</v>
      </c>
      <c r="N58" s="0" t="n">
        <f aca="false">IF(A58="三軒茶屋",1,0)</f>
        <v>0</v>
      </c>
      <c r="O58" s="0" t="n">
        <f aca="false">IF(A58="駒沢大学",1,0)</f>
        <v>0</v>
      </c>
      <c r="P58" s="0" t="n">
        <f aca="false">IF(A58="桜新町",1,0)</f>
        <v>0</v>
      </c>
      <c r="Q58" s="0" t="n">
        <f aca="false">IF(A58="二子玉川",1,0)</f>
        <v>0</v>
      </c>
      <c r="R58" s="0" t="n">
        <f aca="false">IF(E58=2021,1,0)</f>
        <v>0</v>
      </c>
      <c r="S58" s="0" t="n">
        <f aca="false">IF(E58=2022,1,0)</f>
        <v>1</v>
      </c>
      <c r="T58" s="0" t="n">
        <f aca="false">IF(E58=2023,1,0)</f>
        <v>0</v>
      </c>
      <c r="U58" s="0" t="n">
        <f aca="false">IF(E58=2024,1,0)</f>
        <v>0</v>
      </c>
    </row>
    <row r="59" customFormat="false" ht="15" hidden="false" customHeight="false" outlineLevel="0" collapsed="false">
      <c r="A59" s="1" t="s">
        <v>20</v>
      </c>
      <c r="B59" s="0" t="n">
        <v>14</v>
      </c>
      <c r="C59" s="0" t="n">
        <v>65</v>
      </c>
      <c r="D59" s="0" t="n">
        <v>2010</v>
      </c>
      <c r="E59" s="0" t="n">
        <v>2022</v>
      </c>
      <c r="F59" s="1" t="s">
        <v>19</v>
      </c>
      <c r="G59" s="0" t="n">
        <v>50000000</v>
      </c>
      <c r="H59" s="0" t="n">
        <f aca="false">LN(G59/C59)</f>
        <v>13.5531462934968</v>
      </c>
      <c r="I59" s="0" t="n">
        <f aca="false">B59</f>
        <v>14</v>
      </c>
      <c r="J59" s="0" t="n">
        <f aca="false">E59-D59</f>
        <v>12</v>
      </c>
      <c r="K59" s="0" t="n">
        <f aca="false">C59</f>
        <v>65</v>
      </c>
      <c r="L59" s="0" t="n">
        <f aca="false">IF(F59="改装済み",1,0)</f>
        <v>0</v>
      </c>
      <c r="M59" s="0" t="n">
        <f aca="false">IF(A59="池尻大橋",1,0)</f>
        <v>0</v>
      </c>
      <c r="N59" s="0" t="n">
        <f aca="false">IF(A59="三軒茶屋",1,0)</f>
        <v>0</v>
      </c>
      <c r="O59" s="0" t="n">
        <f aca="false">IF(A59="駒沢大学",1,0)</f>
        <v>0</v>
      </c>
      <c r="P59" s="0" t="n">
        <f aca="false">IF(A59="桜新町",1,0)</f>
        <v>0</v>
      </c>
      <c r="Q59" s="0" t="n">
        <f aca="false">IF(A59="二子玉川",1,0)</f>
        <v>0</v>
      </c>
      <c r="R59" s="0" t="n">
        <f aca="false">IF(E59=2021,1,0)</f>
        <v>0</v>
      </c>
      <c r="S59" s="0" t="n">
        <f aca="false">IF(E59=2022,1,0)</f>
        <v>1</v>
      </c>
      <c r="T59" s="0" t="n">
        <f aca="false">IF(E59=2023,1,0)</f>
        <v>0</v>
      </c>
      <c r="U59" s="0" t="n">
        <f aca="false">IF(E59=2024,1,0)</f>
        <v>0</v>
      </c>
    </row>
    <row r="60" customFormat="false" ht="15" hidden="false" customHeight="false" outlineLevel="0" collapsed="false">
      <c r="A60" s="1" t="s">
        <v>20</v>
      </c>
      <c r="B60" s="0" t="n">
        <v>20</v>
      </c>
      <c r="C60" s="0" t="n">
        <v>105</v>
      </c>
      <c r="D60" s="0" t="n">
        <v>2007</v>
      </c>
      <c r="E60" s="0" t="n">
        <v>2022</v>
      </c>
      <c r="F60" s="1" t="s">
        <v>18</v>
      </c>
      <c r="G60" s="0" t="n">
        <v>100000000</v>
      </c>
      <c r="H60" s="0" t="n">
        <f aca="false">LN(G60/C60)</f>
        <v>13.7667203937948</v>
      </c>
      <c r="I60" s="0" t="n">
        <f aca="false">B60</f>
        <v>20</v>
      </c>
      <c r="J60" s="0" t="n">
        <f aca="false">E60-D60</f>
        <v>15</v>
      </c>
      <c r="K60" s="0" t="n">
        <f aca="false">C60</f>
        <v>105</v>
      </c>
      <c r="L60" s="0" t="n">
        <f aca="false">IF(F60="改装済み",1,0)</f>
        <v>1</v>
      </c>
      <c r="M60" s="0" t="n">
        <f aca="false">IF(A60="池尻大橋",1,0)</f>
        <v>0</v>
      </c>
      <c r="N60" s="0" t="n">
        <f aca="false">IF(A60="三軒茶屋",1,0)</f>
        <v>0</v>
      </c>
      <c r="O60" s="0" t="n">
        <f aca="false">IF(A60="駒沢大学",1,0)</f>
        <v>0</v>
      </c>
      <c r="P60" s="0" t="n">
        <f aca="false">IF(A60="桜新町",1,0)</f>
        <v>0</v>
      </c>
      <c r="Q60" s="0" t="n">
        <f aca="false">IF(A60="二子玉川",1,0)</f>
        <v>0</v>
      </c>
      <c r="R60" s="0" t="n">
        <f aca="false">IF(E60=2021,1,0)</f>
        <v>0</v>
      </c>
      <c r="S60" s="0" t="n">
        <f aca="false">IF(E60=2022,1,0)</f>
        <v>1</v>
      </c>
      <c r="T60" s="0" t="n">
        <f aca="false">IF(E60=2023,1,0)</f>
        <v>0</v>
      </c>
      <c r="U60" s="0" t="n">
        <f aca="false">IF(E60=2024,1,0)</f>
        <v>0</v>
      </c>
    </row>
    <row r="61" customFormat="false" ht="15" hidden="false" customHeight="false" outlineLevel="0" collapsed="false">
      <c r="A61" s="1" t="s">
        <v>20</v>
      </c>
      <c r="B61" s="0" t="n">
        <v>26</v>
      </c>
      <c r="C61" s="0" t="n">
        <v>80</v>
      </c>
      <c r="D61" s="0" t="n">
        <v>1988</v>
      </c>
      <c r="E61" s="0" t="n">
        <v>2021</v>
      </c>
      <c r="F61" s="1" t="s">
        <v>18</v>
      </c>
      <c r="G61" s="0" t="n">
        <v>49000000</v>
      </c>
      <c r="H61" s="0" t="n">
        <f aca="false">LN(G61/C61)</f>
        <v>13.325304221401</v>
      </c>
      <c r="I61" s="0" t="n">
        <f aca="false">B61</f>
        <v>26</v>
      </c>
      <c r="J61" s="0" t="n">
        <f aca="false">E61-D61</f>
        <v>33</v>
      </c>
      <c r="K61" s="0" t="n">
        <f aca="false">C61</f>
        <v>80</v>
      </c>
      <c r="L61" s="0" t="n">
        <f aca="false">IF(F61="改装済み",1,0)</f>
        <v>1</v>
      </c>
      <c r="M61" s="0" t="n">
        <f aca="false">IF(A61="池尻大橋",1,0)</f>
        <v>0</v>
      </c>
      <c r="N61" s="0" t="n">
        <f aca="false">IF(A61="三軒茶屋",1,0)</f>
        <v>0</v>
      </c>
      <c r="O61" s="0" t="n">
        <f aca="false">IF(A61="駒沢大学",1,0)</f>
        <v>0</v>
      </c>
      <c r="P61" s="0" t="n">
        <f aca="false">IF(A61="桜新町",1,0)</f>
        <v>0</v>
      </c>
      <c r="Q61" s="0" t="n">
        <f aca="false">IF(A61="二子玉川",1,0)</f>
        <v>0</v>
      </c>
      <c r="R61" s="0" t="n">
        <f aca="false">IF(E61=2021,1,0)</f>
        <v>1</v>
      </c>
      <c r="S61" s="0" t="n">
        <f aca="false">IF(E61=2022,1,0)</f>
        <v>0</v>
      </c>
      <c r="T61" s="0" t="n">
        <f aca="false">IF(E61=2023,1,0)</f>
        <v>0</v>
      </c>
      <c r="U61" s="0" t="n">
        <f aca="false">IF(E61=2024,1,0)</f>
        <v>0</v>
      </c>
    </row>
    <row r="62" customFormat="false" ht="15" hidden="false" customHeight="false" outlineLevel="0" collapsed="false">
      <c r="A62" s="1" t="s">
        <v>20</v>
      </c>
      <c r="B62" s="0" t="n">
        <v>19</v>
      </c>
      <c r="C62" s="0" t="n">
        <v>70</v>
      </c>
      <c r="D62" s="0" t="n">
        <v>1998</v>
      </c>
      <c r="E62" s="0" t="n">
        <v>2021</v>
      </c>
      <c r="F62" s="1" t="s">
        <v>18</v>
      </c>
      <c r="G62" s="0" t="n">
        <v>54000000</v>
      </c>
      <c r="H62" s="0" t="n">
        <f aca="false">LN(G62/C62)</f>
        <v>13.5559993624792</v>
      </c>
      <c r="I62" s="0" t="n">
        <f aca="false">B62</f>
        <v>19</v>
      </c>
      <c r="J62" s="0" t="n">
        <f aca="false">E62-D62</f>
        <v>23</v>
      </c>
      <c r="K62" s="0" t="n">
        <f aca="false">C62</f>
        <v>70</v>
      </c>
      <c r="L62" s="0" t="n">
        <f aca="false">IF(F62="改装済み",1,0)</f>
        <v>1</v>
      </c>
      <c r="M62" s="0" t="n">
        <f aca="false">IF(A62="池尻大橋",1,0)</f>
        <v>0</v>
      </c>
      <c r="N62" s="0" t="n">
        <f aca="false">IF(A62="三軒茶屋",1,0)</f>
        <v>0</v>
      </c>
      <c r="O62" s="0" t="n">
        <f aca="false">IF(A62="駒沢大学",1,0)</f>
        <v>0</v>
      </c>
      <c r="P62" s="0" t="n">
        <f aca="false">IF(A62="桜新町",1,0)</f>
        <v>0</v>
      </c>
      <c r="Q62" s="0" t="n">
        <f aca="false">IF(A62="二子玉川",1,0)</f>
        <v>0</v>
      </c>
      <c r="R62" s="0" t="n">
        <f aca="false">IF(E62=2021,1,0)</f>
        <v>1</v>
      </c>
      <c r="S62" s="0" t="n">
        <f aca="false">IF(E62=2022,1,0)</f>
        <v>0</v>
      </c>
      <c r="T62" s="0" t="n">
        <f aca="false">IF(E62=2023,1,0)</f>
        <v>0</v>
      </c>
      <c r="U62" s="0" t="n">
        <f aca="false">IF(E62=2024,1,0)</f>
        <v>0</v>
      </c>
    </row>
    <row r="63" customFormat="false" ht="15" hidden="false" customHeight="false" outlineLevel="0" collapsed="false">
      <c r="A63" s="1" t="s">
        <v>20</v>
      </c>
      <c r="B63" s="0" t="n">
        <v>14</v>
      </c>
      <c r="C63" s="0" t="n">
        <v>55</v>
      </c>
      <c r="D63" s="0" t="n">
        <v>2010</v>
      </c>
      <c r="E63" s="0" t="n">
        <v>2021</v>
      </c>
      <c r="F63" s="1" t="s">
        <v>18</v>
      </c>
      <c r="G63" s="0" t="n">
        <v>50000000</v>
      </c>
      <c r="H63" s="0" t="n">
        <f aca="false">LN(G63/C63)</f>
        <v>13.72020037816</v>
      </c>
      <c r="I63" s="0" t="n">
        <f aca="false">B63</f>
        <v>14</v>
      </c>
      <c r="J63" s="0" t="n">
        <f aca="false">E63-D63</f>
        <v>11</v>
      </c>
      <c r="K63" s="0" t="n">
        <f aca="false">C63</f>
        <v>55</v>
      </c>
      <c r="L63" s="0" t="n">
        <f aca="false">IF(F63="改装済み",1,0)</f>
        <v>1</v>
      </c>
      <c r="M63" s="0" t="n">
        <f aca="false">IF(A63="池尻大橋",1,0)</f>
        <v>0</v>
      </c>
      <c r="N63" s="0" t="n">
        <f aca="false">IF(A63="三軒茶屋",1,0)</f>
        <v>0</v>
      </c>
      <c r="O63" s="0" t="n">
        <f aca="false">IF(A63="駒沢大学",1,0)</f>
        <v>0</v>
      </c>
      <c r="P63" s="0" t="n">
        <f aca="false">IF(A63="桜新町",1,0)</f>
        <v>0</v>
      </c>
      <c r="Q63" s="0" t="n">
        <f aca="false">IF(A63="二子玉川",1,0)</f>
        <v>0</v>
      </c>
      <c r="R63" s="0" t="n">
        <f aca="false">IF(E63=2021,1,0)</f>
        <v>1</v>
      </c>
      <c r="S63" s="0" t="n">
        <f aca="false">IF(E63=2022,1,0)</f>
        <v>0</v>
      </c>
      <c r="T63" s="0" t="n">
        <f aca="false">IF(E63=2023,1,0)</f>
        <v>0</v>
      </c>
      <c r="U63" s="0" t="n">
        <f aca="false">IF(E63=2024,1,0)</f>
        <v>0</v>
      </c>
    </row>
    <row r="64" customFormat="false" ht="15" hidden="false" customHeight="false" outlineLevel="0" collapsed="false">
      <c r="A64" s="1" t="s">
        <v>13</v>
      </c>
      <c r="B64" s="0" t="n">
        <v>21</v>
      </c>
      <c r="C64" s="0" t="n">
        <v>105</v>
      </c>
      <c r="D64" s="0" t="n">
        <v>2005</v>
      </c>
      <c r="E64" s="0" t="n">
        <v>2025</v>
      </c>
      <c r="F64" s="1" t="s">
        <v>18</v>
      </c>
      <c r="G64" s="0" t="n">
        <v>97000000</v>
      </c>
      <c r="H64" s="0" t="n">
        <f aca="false">LN(G64/C64)</f>
        <v>13.7362611863101</v>
      </c>
      <c r="I64" s="0" t="n">
        <f aca="false">B64</f>
        <v>21</v>
      </c>
      <c r="J64" s="0" t="n">
        <f aca="false">E64-D64</f>
        <v>20</v>
      </c>
      <c r="K64" s="0" t="n">
        <f aca="false">C64</f>
        <v>105</v>
      </c>
      <c r="L64" s="0" t="n">
        <f aca="false">IF(F64="改装済み",1,0)</f>
        <v>1</v>
      </c>
      <c r="M64" s="0" t="n">
        <f aca="false">IF(A64="池尻大橋",1,0)</f>
        <v>0</v>
      </c>
      <c r="N64" s="0" t="n">
        <f aca="false">IF(A64="三軒茶屋",1,0)</f>
        <v>0</v>
      </c>
      <c r="O64" s="0" t="n">
        <f aca="false">IF(A64="駒沢大学",1,0)</f>
        <v>0</v>
      </c>
      <c r="P64" s="0" t="n">
        <f aca="false">IF(A64="桜新町",1,0)</f>
        <v>0</v>
      </c>
      <c r="Q64" s="0" t="n">
        <f aca="false">IF(A64="二子玉川",1,0)</f>
        <v>1</v>
      </c>
      <c r="R64" s="0" t="n">
        <f aca="false">IF(E64=2021,1,0)</f>
        <v>0</v>
      </c>
      <c r="S64" s="0" t="n">
        <f aca="false">IF(E64=2022,1,0)</f>
        <v>0</v>
      </c>
      <c r="T64" s="0" t="n">
        <f aca="false">IF(E64=2023,1,0)</f>
        <v>0</v>
      </c>
      <c r="U64" s="0" t="n">
        <f aca="false">IF(E64=2024,1,0)</f>
        <v>0</v>
      </c>
    </row>
    <row r="65" customFormat="false" ht="15" hidden="false" customHeight="false" outlineLevel="0" collapsed="false">
      <c r="A65" s="1" t="s">
        <v>13</v>
      </c>
      <c r="B65" s="0" t="n">
        <v>23</v>
      </c>
      <c r="C65" s="0" t="n">
        <v>65</v>
      </c>
      <c r="D65" s="0" t="n">
        <v>1986</v>
      </c>
      <c r="E65" s="0" t="n">
        <v>2025</v>
      </c>
      <c r="F65" s="1" t="s">
        <v>18</v>
      </c>
      <c r="G65" s="0" t="n">
        <v>43000000</v>
      </c>
      <c r="H65" s="0" t="n">
        <f aca="false">LN(G65/C65)</f>
        <v>13.4023234037622</v>
      </c>
      <c r="I65" s="0" t="n">
        <f aca="false">B65</f>
        <v>23</v>
      </c>
      <c r="J65" s="0" t="n">
        <f aca="false">E65-D65</f>
        <v>39</v>
      </c>
      <c r="K65" s="0" t="n">
        <f aca="false">C65</f>
        <v>65</v>
      </c>
      <c r="L65" s="0" t="n">
        <f aca="false">IF(F65="改装済み",1,0)</f>
        <v>1</v>
      </c>
      <c r="M65" s="0" t="n">
        <f aca="false">IF(A65="池尻大橋",1,0)</f>
        <v>0</v>
      </c>
      <c r="N65" s="0" t="n">
        <f aca="false">IF(A65="三軒茶屋",1,0)</f>
        <v>0</v>
      </c>
      <c r="O65" s="0" t="n">
        <f aca="false">IF(A65="駒沢大学",1,0)</f>
        <v>0</v>
      </c>
      <c r="P65" s="0" t="n">
        <f aca="false">IF(A65="桜新町",1,0)</f>
        <v>0</v>
      </c>
      <c r="Q65" s="0" t="n">
        <f aca="false">IF(A65="二子玉川",1,0)</f>
        <v>1</v>
      </c>
      <c r="R65" s="0" t="n">
        <f aca="false">IF(E65=2021,1,0)</f>
        <v>0</v>
      </c>
      <c r="S65" s="0" t="n">
        <f aca="false">IF(E65=2022,1,0)</f>
        <v>0</v>
      </c>
      <c r="T65" s="0" t="n">
        <f aca="false">IF(E65=2023,1,0)</f>
        <v>0</v>
      </c>
      <c r="U65" s="0" t="n">
        <f aca="false">IF(E65=2024,1,0)</f>
        <v>0</v>
      </c>
    </row>
    <row r="66" customFormat="false" ht="15" hidden="false" customHeight="false" outlineLevel="0" collapsed="false">
      <c r="A66" s="1" t="s">
        <v>13</v>
      </c>
      <c r="B66" s="0" t="n">
        <v>24</v>
      </c>
      <c r="C66" s="0" t="n">
        <v>70</v>
      </c>
      <c r="D66" s="0" t="n">
        <v>2012</v>
      </c>
      <c r="E66" s="0" t="n">
        <v>2025</v>
      </c>
      <c r="F66" s="1" t="s">
        <v>19</v>
      </c>
      <c r="G66" s="0" t="n">
        <v>51000000</v>
      </c>
      <c r="H66" s="0" t="n">
        <f aca="false">LN(G66/C66)</f>
        <v>13.4988409486392</v>
      </c>
      <c r="I66" s="0" t="n">
        <f aca="false">B66</f>
        <v>24</v>
      </c>
      <c r="J66" s="0" t="n">
        <f aca="false">E66-D66</f>
        <v>13</v>
      </c>
      <c r="K66" s="0" t="n">
        <f aca="false">C66</f>
        <v>70</v>
      </c>
      <c r="L66" s="0" t="n">
        <f aca="false">IF(F66="改装済み",1,0)</f>
        <v>0</v>
      </c>
      <c r="M66" s="0" t="n">
        <f aca="false">IF(A66="池尻大橋",1,0)</f>
        <v>0</v>
      </c>
      <c r="N66" s="0" t="n">
        <f aca="false">IF(A66="三軒茶屋",1,0)</f>
        <v>0</v>
      </c>
      <c r="O66" s="0" t="n">
        <f aca="false">IF(A66="駒沢大学",1,0)</f>
        <v>0</v>
      </c>
      <c r="P66" s="0" t="n">
        <f aca="false">IF(A66="桜新町",1,0)</f>
        <v>0</v>
      </c>
      <c r="Q66" s="0" t="n">
        <f aca="false">IF(A66="二子玉川",1,0)</f>
        <v>1</v>
      </c>
      <c r="R66" s="0" t="n">
        <f aca="false">IF(E66=2021,1,0)</f>
        <v>0</v>
      </c>
      <c r="S66" s="0" t="n">
        <f aca="false">IF(E66=2022,1,0)</f>
        <v>0</v>
      </c>
      <c r="T66" s="0" t="n">
        <f aca="false">IF(E66=2023,1,0)</f>
        <v>0</v>
      </c>
      <c r="U66" s="0" t="n">
        <f aca="false">IF(E66=2024,1,0)</f>
        <v>0</v>
      </c>
    </row>
    <row r="67" customFormat="false" ht="15" hidden="false" customHeight="false" outlineLevel="0" collapsed="false">
      <c r="A67" s="1" t="s">
        <v>13</v>
      </c>
      <c r="B67" s="0" t="n">
        <v>23</v>
      </c>
      <c r="C67" s="0" t="n">
        <v>60</v>
      </c>
      <c r="D67" s="0" t="n">
        <v>2017</v>
      </c>
      <c r="E67" s="0" t="n">
        <v>2025</v>
      </c>
      <c r="F67" s="1" t="s">
        <v>19</v>
      </c>
      <c r="G67" s="0" t="n">
        <v>64000000</v>
      </c>
      <c r="H67" s="0" t="n">
        <f aca="false">LN(G67/C67)</f>
        <v>13.8800490791018</v>
      </c>
      <c r="I67" s="0" t="n">
        <f aca="false">B67</f>
        <v>23</v>
      </c>
      <c r="J67" s="0" t="n">
        <f aca="false">E67-D67</f>
        <v>8</v>
      </c>
      <c r="K67" s="0" t="n">
        <f aca="false">C67</f>
        <v>60</v>
      </c>
      <c r="L67" s="0" t="n">
        <f aca="false">IF(F67="改装済み",1,0)</f>
        <v>0</v>
      </c>
      <c r="M67" s="0" t="n">
        <f aca="false">IF(A67="池尻大橋",1,0)</f>
        <v>0</v>
      </c>
      <c r="N67" s="0" t="n">
        <f aca="false">IF(A67="三軒茶屋",1,0)</f>
        <v>0</v>
      </c>
      <c r="O67" s="0" t="n">
        <f aca="false">IF(A67="駒沢大学",1,0)</f>
        <v>0</v>
      </c>
      <c r="P67" s="0" t="n">
        <f aca="false">IF(A67="桜新町",1,0)</f>
        <v>0</v>
      </c>
      <c r="Q67" s="0" t="n">
        <f aca="false">IF(A67="二子玉川",1,0)</f>
        <v>1</v>
      </c>
      <c r="R67" s="0" t="n">
        <f aca="false">IF(E67=2021,1,0)</f>
        <v>0</v>
      </c>
      <c r="S67" s="0" t="n">
        <f aca="false">IF(E67=2022,1,0)</f>
        <v>0</v>
      </c>
      <c r="T67" s="0" t="n">
        <f aca="false">IF(E67=2023,1,0)</f>
        <v>0</v>
      </c>
      <c r="U67" s="0" t="n">
        <f aca="false">IF(E67=2024,1,0)</f>
        <v>0</v>
      </c>
    </row>
    <row r="68" customFormat="false" ht="15" hidden="false" customHeight="false" outlineLevel="0" collapsed="false">
      <c r="A68" s="1" t="s">
        <v>13</v>
      </c>
      <c r="B68" s="0" t="n">
        <v>25</v>
      </c>
      <c r="C68" s="0" t="n">
        <v>70</v>
      </c>
      <c r="D68" s="0" t="n">
        <v>2009</v>
      </c>
      <c r="E68" s="0" t="n">
        <v>2025</v>
      </c>
      <c r="F68" s="1" t="s">
        <v>19</v>
      </c>
      <c r="G68" s="0" t="n">
        <v>60000000</v>
      </c>
      <c r="H68" s="0" t="n">
        <f aca="false">LN(G68/C68)</f>
        <v>13.661359878137</v>
      </c>
      <c r="I68" s="0" t="n">
        <f aca="false">B68</f>
        <v>25</v>
      </c>
      <c r="J68" s="0" t="n">
        <f aca="false">E68-D68</f>
        <v>16</v>
      </c>
      <c r="K68" s="0" t="n">
        <f aca="false">C68</f>
        <v>70</v>
      </c>
      <c r="L68" s="0" t="n">
        <f aca="false">IF(F68="改装済み",1,0)</f>
        <v>0</v>
      </c>
      <c r="M68" s="0" t="n">
        <f aca="false">IF(A68="池尻大橋",1,0)</f>
        <v>0</v>
      </c>
      <c r="N68" s="0" t="n">
        <f aca="false">IF(A68="三軒茶屋",1,0)</f>
        <v>0</v>
      </c>
      <c r="O68" s="0" t="n">
        <f aca="false">IF(A68="駒沢大学",1,0)</f>
        <v>0</v>
      </c>
      <c r="P68" s="0" t="n">
        <f aca="false">IF(A68="桜新町",1,0)</f>
        <v>0</v>
      </c>
      <c r="Q68" s="0" t="n">
        <f aca="false">IF(A68="二子玉川",1,0)</f>
        <v>1</v>
      </c>
      <c r="R68" s="0" t="n">
        <f aca="false">IF(E68=2021,1,0)</f>
        <v>0</v>
      </c>
      <c r="S68" s="0" t="n">
        <f aca="false">IF(E68=2022,1,0)</f>
        <v>0</v>
      </c>
      <c r="T68" s="0" t="n">
        <f aca="false">IF(E68=2023,1,0)</f>
        <v>0</v>
      </c>
      <c r="U68" s="0" t="n">
        <f aca="false">IF(E68=2024,1,0)</f>
        <v>0</v>
      </c>
    </row>
    <row r="69" customFormat="false" ht="15" hidden="false" customHeight="false" outlineLevel="0" collapsed="false">
      <c r="A69" s="1" t="s">
        <v>13</v>
      </c>
      <c r="B69" s="0" t="n">
        <v>14</v>
      </c>
      <c r="C69" s="0" t="n">
        <v>55</v>
      </c>
      <c r="D69" s="0" t="n">
        <v>1984</v>
      </c>
      <c r="E69" s="0" t="n">
        <v>2024</v>
      </c>
      <c r="F69" s="1" t="s">
        <v>18</v>
      </c>
      <c r="G69" s="0" t="n">
        <v>37000000</v>
      </c>
      <c r="H69" s="0" t="n">
        <f aca="false">LN(G69/C69)</f>
        <v>13.419095285376</v>
      </c>
      <c r="I69" s="0" t="n">
        <f aca="false">B69</f>
        <v>14</v>
      </c>
      <c r="J69" s="0" t="n">
        <f aca="false">E69-D69</f>
        <v>40</v>
      </c>
      <c r="K69" s="0" t="n">
        <f aca="false">C69</f>
        <v>55</v>
      </c>
      <c r="L69" s="0" t="n">
        <f aca="false">IF(F69="改装済み",1,0)</f>
        <v>1</v>
      </c>
      <c r="M69" s="0" t="n">
        <f aca="false">IF(A69="池尻大橋",1,0)</f>
        <v>0</v>
      </c>
      <c r="N69" s="0" t="n">
        <f aca="false">IF(A69="三軒茶屋",1,0)</f>
        <v>0</v>
      </c>
      <c r="O69" s="0" t="n">
        <f aca="false">IF(A69="駒沢大学",1,0)</f>
        <v>0</v>
      </c>
      <c r="P69" s="0" t="n">
        <f aca="false">IF(A69="桜新町",1,0)</f>
        <v>0</v>
      </c>
      <c r="Q69" s="0" t="n">
        <f aca="false">IF(A69="二子玉川",1,0)</f>
        <v>1</v>
      </c>
      <c r="R69" s="0" t="n">
        <f aca="false">IF(E69=2021,1,0)</f>
        <v>0</v>
      </c>
      <c r="S69" s="0" t="n">
        <f aca="false">IF(E69=2022,1,0)</f>
        <v>0</v>
      </c>
      <c r="T69" s="0" t="n">
        <f aca="false">IF(E69=2023,1,0)</f>
        <v>0</v>
      </c>
      <c r="U69" s="0" t="n">
        <f aca="false">IF(E69=2024,1,0)</f>
        <v>1</v>
      </c>
    </row>
    <row r="70" customFormat="false" ht="15" hidden="false" customHeight="false" outlineLevel="0" collapsed="false">
      <c r="A70" s="1" t="s">
        <v>13</v>
      </c>
      <c r="B70" s="0" t="n">
        <v>25</v>
      </c>
      <c r="C70" s="0" t="n">
        <v>70</v>
      </c>
      <c r="D70" s="0" t="n">
        <v>2009</v>
      </c>
      <c r="E70" s="0" t="n">
        <v>2024</v>
      </c>
      <c r="F70" s="1" t="s">
        <v>19</v>
      </c>
      <c r="G70" s="0" t="n">
        <v>62000000</v>
      </c>
      <c r="H70" s="0" t="n">
        <f aca="false">LN(G70/C70)</f>
        <v>13.69414970096</v>
      </c>
      <c r="I70" s="0" t="n">
        <f aca="false">B70</f>
        <v>25</v>
      </c>
      <c r="J70" s="0" t="n">
        <f aca="false">E70-D70</f>
        <v>15</v>
      </c>
      <c r="K70" s="0" t="n">
        <f aca="false">C70</f>
        <v>70</v>
      </c>
      <c r="L70" s="0" t="n">
        <f aca="false">IF(F70="改装済み",1,0)</f>
        <v>0</v>
      </c>
      <c r="M70" s="0" t="n">
        <f aca="false">IF(A70="池尻大橋",1,0)</f>
        <v>0</v>
      </c>
      <c r="N70" s="0" t="n">
        <f aca="false">IF(A70="三軒茶屋",1,0)</f>
        <v>0</v>
      </c>
      <c r="O70" s="0" t="n">
        <f aca="false">IF(A70="駒沢大学",1,0)</f>
        <v>0</v>
      </c>
      <c r="P70" s="0" t="n">
        <f aca="false">IF(A70="桜新町",1,0)</f>
        <v>0</v>
      </c>
      <c r="Q70" s="0" t="n">
        <f aca="false">IF(A70="二子玉川",1,0)</f>
        <v>1</v>
      </c>
      <c r="R70" s="0" t="n">
        <f aca="false">IF(E70=2021,1,0)</f>
        <v>0</v>
      </c>
      <c r="S70" s="0" t="n">
        <f aca="false">IF(E70=2022,1,0)</f>
        <v>0</v>
      </c>
      <c r="T70" s="0" t="n">
        <f aca="false">IF(E70=2023,1,0)</f>
        <v>0</v>
      </c>
      <c r="U70" s="0" t="n">
        <f aca="false">IF(E70=2024,1,0)</f>
        <v>1</v>
      </c>
    </row>
    <row r="71" customFormat="false" ht="15" hidden="false" customHeight="false" outlineLevel="0" collapsed="false">
      <c r="A71" s="1" t="s">
        <v>13</v>
      </c>
      <c r="B71" s="0" t="n">
        <v>24</v>
      </c>
      <c r="C71" s="0" t="n">
        <v>55</v>
      </c>
      <c r="D71" s="0" t="n">
        <v>2012</v>
      </c>
      <c r="E71" s="0" t="n">
        <v>2024</v>
      </c>
      <c r="F71" s="1" t="s">
        <v>19</v>
      </c>
      <c r="G71" s="0" t="n">
        <v>50000000</v>
      </c>
      <c r="H71" s="0" t="n">
        <f aca="false">LN(G71/C71)</f>
        <v>13.72020037816</v>
      </c>
      <c r="I71" s="0" t="n">
        <f aca="false">B71</f>
        <v>24</v>
      </c>
      <c r="J71" s="0" t="n">
        <f aca="false">E71-D71</f>
        <v>12</v>
      </c>
      <c r="K71" s="0" t="n">
        <f aca="false">C71</f>
        <v>55</v>
      </c>
      <c r="L71" s="0" t="n">
        <f aca="false">IF(F71="改装済み",1,0)</f>
        <v>0</v>
      </c>
      <c r="M71" s="0" t="n">
        <f aca="false">IF(A71="池尻大橋",1,0)</f>
        <v>0</v>
      </c>
      <c r="N71" s="0" t="n">
        <f aca="false">IF(A71="三軒茶屋",1,0)</f>
        <v>0</v>
      </c>
      <c r="O71" s="0" t="n">
        <f aca="false">IF(A71="駒沢大学",1,0)</f>
        <v>0</v>
      </c>
      <c r="P71" s="0" t="n">
        <f aca="false">IF(A71="桜新町",1,0)</f>
        <v>0</v>
      </c>
      <c r="Q71" s="0" t="n">
        <f aca="false">IF(A71="二子玉川",1,0)</f>
        <v>1</v>
      </c>
      <c r="R71" s="0" t="n">
        <f aca="false">IF(E71=2021,1,0)</f>
        <v>0</v>
      </c>
      <c r="S71" s="0" t="n">
        <f aca="false">IF(E71=2022,1,0)</f>
        <v>0</v>
      </c>
      <c r="T71" s="0" t="n">
        <f aca="false">IF(E71=2023,1,0)</f>
        <v>0</v>
      </c>
      <c r="U71" s="0" t="n">
        <f aca="false">IF(E71=2024,1,0)</f>
        <v>1</v>
      </c>
    </row>
    <row r="72" customFormat="false" ht="15" hidden="false" customHeight="false" outlineLevel="0" collapsed="false">
      <c r="A72" s="1" t="s">
        <v>13</v>
      </c>
      <c r="B72" s="0" t="n">
        <v>23</v>
      </c>
      <c r="C72" s="0" t="n">
        <v>65</v>
      </c>
      <c r="D72" s="0" t="n">
        <v>1998</v>
      </c>
      <c r="E72" s="0" t="n">
        <v>2024</v>
      </c>
      <c r="F72" s="1" t="s">
        <v>19</v>
      </c>
      <c r="G72" s="0" t="n">
        <v>47000000</v>
      </c>
      <c r="H72" s="0" t="n">
        <f aca="false">LN(G72/C72)</f>
        <v>13.4912708897787</v>
      </c>
      <c r="I72" s="0" t="n">
        <f aca="false">B72</f>
        <v>23</v>
      </c>
      <c r="J72" s="0" t="n">
        <f aca="false">E72-D72</f>
        <v>26</v>
      </c>
      <c r="K72" s="0" t="n">
        <f aca="false">C72</f>
        <v>65</v>
      </c>
      <c r="L72" s="0" t="n">
        <f aca="false">IF(F72="改装済み",1,0)</f>
        <v>0</v>
      </c>
      <c r="M72" s="0" t="n">
        <f aca="false">IF(A72="池尻大橋",1,0)</f>
        <v>0</v>
      </c>
      <c r="N72" s="0" t="n">
        <f aca="false">IF(A72="三軒茶屋",1,0)</f>
        <v>0</v>
      </c>
      <c r="O72" s="0" t="n">
        <f aca="false">IF(A72="駒沢大学",1,0)</f>
        <v>0</v>
      </c>
      <c r="P72" s="0" t="n">
        <f aca="false">IF(A72="桜新町",1,0)</f>
        <v>0</v>
      </c>
      <c r="Q72" s="0" t="n">
        <f aca="false">IF(A72="二子玉川",1,0)</f>
        <v>1</v>
      </c>
      <c r="R72" s="0" t="n">
        <f aca="false">IF(E72=2021,1,0)</f>
        <v>0</v>
      </c>
      <c r="S72" s="0" t="n">
        <f aca="false">IF(E72=2022,1,0)</f>
        <v>0</v>
      </c>
      <c r="T72" s="0" t="n">
        <f aca="false">IF(E72=2023,1,0)</f>
        <v>0</v>
      </c>
      <c r="U72" s="0" t="n">
        <f aca="false">IF(E72=2024,1,0)</f>
        <v>1</v>
      </c>
    </row>
    <row r="73" customFormat="false" ht="15" hidden="false" customHeight="false" outlineLevel="0" collapsed="false">
      <c r="A73" s="1" t="s">
        <v>13</v>
      </c>
      <c r="B73" s="0" t="n">
        <v>23</v>
      </c>
      <c r="C73" s="0" t="n">
        <v>85</v>
      </c>
      <c r="D73" s="0" t="n">
        <v>2005</v>
      </c>
      <c r="E73" s="0" t="n">
        <v>2023</v>
      </c>
      <c r="F73" s="1" t="s">
        <v>19</v>
      </c>
      <c r="G73" s="0" t="n">
        <v>60000000</v>
      </c>
      <c r="H73" s="0" t="n">
        <f aca="false">LN(G73/C73)</f>
        <v>13.4672038636961</v>
      </c>
      <c r="I73" s="0" t="n">
        <f aca="false">B73</f>
        <v>23</v>
      </c>
      <c r="J73" s="0" t="n">
        <f aca="false">E73-D73</f>
        <v>18</v>
      </c>
      <c r="K73" s="0" t="n">
        <f aca="false">C73</f>
        <v>85</v>
      </c>
      <c r="L73" s="0" t="n">
        <f aca="false">IF(F73="改装済み",1,0)</f>
        <v>0</v>
      </c>
      <c r="M73" s="0" t="n">
        <f aca="false">IF(A73="池尻大橋",1,0)</f>
        <v>0</v>
      </c>
      <c r="N73" s="0" t="n">
        <f aca="false">IF(A73="三軒茶屋",1,0)</f>
        <v>0</v>
      </c>
      <c r="O73" s="0" t="n">
        <f aca="false">IF(A73="駒沢大学",1,0)</f>
        <v>0</v>
      </c>
      <c r="P73" s="0" t="n">
        <f aca="false">IF(A73="桜新町",1,0)</f>
        <v>0</v>
      </c>
      <c r="Q73" s="0" t="n">
        <f aca="false">IF(A73="二子玉川",1,0)</f>
        <v>1</v>
      </c>
      <c r="R73" s="0" t="n">
        <f aca="false">IF(E73=2021,1,0)</f>
        <v>0</v>
      </c>
      <c r="S73" s="0" t="n">
        <f aca="false">IF(E73=2022,1,0)</f>
        <v>0</v>
      </c>
      <c r="T73" s="0" t="n">
        <f aca="false">IF(E73=2023,1,0)</f>
        <v>1</v>
      </c>
      <c r="U73" s="0" t="n">
        <f aca="false">IF(E73=2024,1,0)</f>
        <v>0</v>
      </c>
    </row>
    <row r="74" customFormat="false" ht="15" hidden="false" customHeight="false" outlineLevel="0" collapsed="false">
      <c r="A74" s="1" t="s">
        <v>13</v>
      </c>
      <c r="B74" s="0" t="n">
        <v>24</v>
      </c>
      <c r="C74" s="0" t="n">
        <v>55</v>
      </c>
      <c r="D74" s="0" t="n">
        <v>2012</v>
      </c>
      <c r="E74" s="0" t="n">
        <v>2023</v>
      </c>
      <c r="F74" s="1" t="s">
        <v>19</v>
      </c>
      <c r="G74" s="0" t="n">
        <v>45000000</v>
      </c>
      <c r="H74" s="0" t="n">
        <f aca="false">LN(G74/C74)</f>
        <v>13.6148398625021</v>
      </c>
      <c r="I74" s="0" t="n">
        <f aca="false">B74</f>
        <v>24</v>
      </c>
      <c r="J74" s="0" t="n">
        <f aca="false">E74-D74</f>
        <v>11</v>
      </c>
      <c r="K74" s="0" t="n">
        <f aca="false">C74</f>
        <v>55</v>
      </c>
      <c r="L74" s="0" t="n">
        <f aca="false">IF(F74="改装済み",1,0)</f>
        <v>0</v>
      </c>
      <c r="M74" s="0" t="n">
        <f aca="false">IF(A74="池尻大橋",1,0)</f>
        <v>0</v>
      </c>
      <c r="N74" s="0" t="n">
        <f aca="false">IF(A74="三軒茶屋",1,0)</f>
        <v>0</v>
      </c>
      <c r="O74" s="0" t="n">
        <f aca="false">IF(A74="駒沢大学",1,0)</f>
        <v>0</v>
      </c>
      <c r="P74" s="0" t="n">
        <f aca="false">IF(A74="桜新町",1,0)</f>
        <v>0</v>
      </c>
      <c r="Q74" s="0" t="n">
        <f aca="false">IF(A74="二子玉川",1,0)</f>
        <v>1</v>
      </c>
      <c r="R74" s="0" t="n">
        <f aca="false">IF(E74=2021,1,0)</f>
        <v>0</v>
      </c>
      <c r="S74" s="0" t="n">
        <f aca="false">IF(E74=2022,1,0)</f>
        <v>0</v>
      </c>
      <c r="T74" s="0" t="n">
        <f aca="false">IF(E74=2023,1,0)</f>
        <v>1</v>
      </c>
      <c r="U74" s="0" t="n">
        <f aca="false">IF(E74=2024,1,0)</f>
        <v>0</v>
      </c>
    </row>
    <row r="75" customFormat="false" ht="15" hidden="false" customHeight="false" outlineLevel="0" collapsed="false">
      <c r="A75" s="1" t="s">
        <v>13</v>
      </c>
      <c r="B75" s="0" t="n">
        <v>23</v>
      </c>
      <c r="C75" s="0" t="n">
        <v>65</v>
      </c>
      <c r="D75" s="0" t="n">
        <v>1998</v>
      </c>
      <c r="E75" s="0" t="n">
        <v>2023</v>
      </c>
      <c r="F75" s="1" t="s">
        <v>19</v>
      </c>
      <c r="G75" s="0" t="n">
        <v>38000000</v>
      </c>
      <c r="H75" s="0" t="n">
        <f aca="false">LN(G75/C75)</f>
        <v>13.278709447795</v>
      </c>
      <c r="I75" s="0" t="n">
        <f aca="false">B75</f>
        <v>23</v>
      </c>
      <c r="J75" s="0" t="n">
        <f aca="false">E75-D75</f>
        <v>25</v>
      </c>
      <c r="K75" s="0" t="n">
        <f aca="false">C75</f>
        <v>65</v>
      </c>
      <c r="L75" s="0" t="n">
        <f aca="false">IF(F75="改装済み",1,0)</f>
        <v>0</v>
      </c>
      <c r="M75" s="0" t="n">
        <f aca="false">IF(A75="池尻大橋",1,0)</f>
        <v>0</v>
      </c>
      <c r="N75" s="0" t="n">
        <f aca="false">IF(A75="三軒茶屋",1,0)</f>
        <v>0</v>
      </c>
      <c r="O75" s="0" t="n">
        <f aca="false">IF(A75="駒沢大学",1,0)</f>
        <v>0</v>
      </c>
      <c r="P75" s="0" t="n">
        <f aca="false">IF(A75="桜新町",1,0)</f>
        <v>0</v>
      </c>
      <c r="Q75" s="0" t="n">
        <f aca="false">IF(A75="二子玉川",1,0)</f>
        <v>1</v>
      </c>
      <c r="R75" s="0" t="n">
        <f aca="false">IF(E75=2021,1,0)</f>
        <v>0</v>
      </c>
      <c r="S75" s="0" t="n">
        <f aca="false">IF(E75=2022,1,0)</f>
        <v>0</v>
      </c>
      <c r="T75" s="0" t="n">
        <f aca="false">IF(E75=2023,1,0)</f>
        <v>1</v>
      </c>
      <c r="U75" s="0" t="n">
        <f aca="false">IF(E75=2024,1,0)</f>
        <v>0</v>
      </c>
    </row>
    <row r="76" customFormat="false" ht="15" hidden="false" customHeight="false" outlineLevel="0" collapsed="false">
      <c r="A76" s="1" t="s">
        <v>13</v>
      </c>
      <c r="B76" s="0" t="n">
        <v>26</v>
      </c>
      <c r="C76" s="0" t="n">
        <v>60</v>
      </c>
      <c r="D76" s="0" t="n">
        <v>1998</v>
      </c>
      <c r="E76" s="0" t="n">
        <v>2022</v>
      </c>
      <c r="F76" s="1" t="s">
        <v>18</v>
      </c>
      <c r="G76" s="0" t="n">
        <v>36000000</v>
      </c>
      <c r="H76" s="0" t="n">
        <f aca="false">LN(G76/C76)</f>
        <v>13.3046849341983</v>
      </c>
      <c r="I76" s="0" t="n">
        <f aca="false">B76</f>
        <v>26</v>
      </c>
      <c r="J76" s="0" t="n">
        <f aca="false">E76-D76</f>
        <v>24</v>
      </c>
      <c r="K76" s="0" t="n">
        <f aca="false">C76</f>
        <v>60</v>
      </c>
      <c r="L76" s="0" t="n">
        <f aca="false">IF(F76="改装済み",1,0)</f>
        <v>1</v>
      </c>
      <c r="M76" s="0" t="n">
        <f aca="false">IF(A76="池尻大橋",1,0)</f>
        <v>0</v>
      </c>
      <c r="N76" s="0" t="n">
        <f aca="false">IF(A76="三軒茶屋",1,0)</f>
        <v>0</v>
      </c>
      <c r="O76" s="0" t="n">
        <f aca="false">IF(A76="駒沢大学",1,0)</f>
        <v>0</v>
      </c>
      <c r="P76" s="0" t="n">
        <f aca="false">IF(A76="桜新町",1,0)</f>
        <v>0</v>
      </c>
      <c r="Q76" s="0" t="n">
        <f aca="false">IF(A76="二子玉川",1,0)</f>
        <v>1</v>
      </c>
      <c r="R76" s="0" t="n">
        <f aca="false">IF(E76=2021,1,0)</f>
        <v>0</v>
      </c>
      <c r="S76" s="0" t="n">
        <f aca="false">IF(E76=2022,1,0)</f>
        <v>1</v>
      </c>
      <c r="T76" s="0" t="n">
        <f aca="false">IF(E76=2023,1,0)</f>
        <v>0</v>
      </c>
      <c r="U76" s="0" t="n">
        <f aca="false">IF(E76=2024,1,0)</f>
        <v>0</v>
      </c>
    </row>
    <row r="77" customFormat="false" ht="15" hidden="false" customHeight="false" outlineLevel="0" collapsed="false">
      <c r="A77" s="1" t="s">
        <v>13</v>
      </c>
      <c r="B77" s="0" t="n">
        <v>23</v>
      </c>
      <c r="C77" s="0" t="n">
        <v>55</v>
      </c>
      <c r="D77" s="0" t="n">
        <v>1986</v>
      </c>
      <c r="E77" s="0" t="n">
        <v>2022</v>
      </c>
      <c r="F77" s="1" t="s">
        <v>19</v>
      </c>
      <c r="G77" s="0" t="n">
        <v>24000000</v>
      </c>
      <c r="H77" s="0" t="n">
        <f aca="false">LN(G77/C77)</f>
        <v>12.9862312030797</v>
      </c>
      <c r="I77" s="0" t="n">
        <f aca="false">B77</f>
        <v>23</v>
      </c>
      <c r="J77" s="0" t="n">
        <f aca="false">E77-D77</f>
        <v>36</v>
      </c>
      <c r="K77" s="0" t="n">
        <f aca="false">C77</f>
        <v>55</v>
      </c>
      <c r="L77" s="0" t="n">
        <f aca="false">IF(F77="改装済み",1,0)</f>
        <v>0</v>
      </c>
      <c r="M77" s="0" t="n">
        <f aca="false">IF(A77="池尻大橋",1,0)</f>
        <v>0</v>
      </c>
      <c r="N77" s="0" t="n">
        <f aca="false">IF(A77="三軒茶屋",1,0)</f>
        <v>0</v>
      </c>
      <c r="O77" s="0" t="n">
        <f aca="false">IF(A77="駒沢大学",1,0)</f>
        <v>0</v>
      </c>
      <c r="P77" s="0" t="n">
        <f aca="false">IF(A77="桜新町",1,0)</f>
        <v>0</v>
      </c>
      <c r="Q77" s="0" t="n">
        <f aca="false">IF(A77="二子玉川",1,0)</f>
        <v>1</v>
      </c>
      <c r="R77" s="0" t="n">
        <f aca="false">IF(E77=2021,1,0)</f>
        <v>0</v>
      </c>
      <c r="S77" s="0" t="n">
        <f aca="false">IF(E77=2022,1,0)</f>
        <v>1</v>
      </c>
      <c r="T77" s="0" t="n">
        <f aca="false">IF(E77=2023,1,0)</f>
        <v>0</v>
      </c>
      <c r="U77" s="0" t="n">
        <f aca="false">IF(E77=2024,1,0)</f>
        <v>0</v>
      </c>
    </row>
    <row r="78" customFormat="false" ht="15" hidden="false" customHeight="false" outlineLevel="0" collapsed="false">
      <c r="A78" s="1" t="s">
        <v>13</v>
      </c>
      <c r="B78" s="0" t="n">
        <v>28</v>
      </c>
      <c r="C78" s="0" t="n">
        <v>70</v>
      </c>
      <c r="D78" s="0" t="n">
        <v>1998</v>
      </c>
      <c r="E78" s="0" t="n">
        <v>2022</v>
      </c>
      <c r="F78" s="1" t="s">
        <v>18</v>
      </c>
      <c r="G78" s="0" t="n">
        <v>44000000</v>
      </c>
      <c r="H78" s="0" t="n">
        <f aca="false">LN(G78/C78)</f>
        <v>13.3512049498332</v>
      </c>
      <c r="I78" s="0" t="n">
        <f aca="false">B78</f>
        <v>28</v>
      </c>
      <c r="J78" s="0" t="n">
        <f aca="false">E78-D78</f>
        <v>24</v>
      </c>
      <c r="K78" s="0" t="n">
        <f aca="false">C78</f>
        <v>70</v>
      </c>
      <c r="L78" s="0" t="n">
        <f aca="false">IF(F78="改装済み",1,0)</f>
        <v>1</v>
      </c>
      <c r="M78" s="0" t="n">
        <f aca="false">IF(A78="池尻大橋",1,0)</f>
        <v>0</v>
      </c>
      <c r="N78" s="0" t="n">
        <f aca="false">IF(A78="三軒茶屋",1,0)</f>
        <v>0</v>
      </c>
      <c r="O78" s="0" t="n">
        <f aca="false">IF(A78="駒沢大学",1,0)</f>
        <v>0</v>
      </c>
      <c r="P78" s="0" t="n">
        <f aca="false">IF(A78="桜新町",1,0)</f>
        <v>0</v>
      </c>
      <c r="Q78" s="0" t="n">
        <f aca="false">IF(A78="二子玉川",1,0)</f>
        <v>1</v>
      </c>
      <c r="R78" s="0" t="n">
        <f aca="false">IF(E78=2021,1,0)</f>
        <v>0</v>
      </c>
      <c r="S78" s="0" t="n">
        <f aca="false">IF(E78=2022,1,0)</f>
        <v>1</v>
      </c>
      <c r="T78" s="0" t="n">
        <f aca="false">IF(E78=2023,1,0)</f>
        <v>0</v>
      </c>
      <c r="U78" s="0" t="n">
        <f aca="false">IF(E78=2024,1,0)</f>
        <v>0</v>
      </c>
    </row>
    <row r="79" customFormat="false" ht="15" hidden="false" customHeight="false" outlineLevel="0" collapsed="false">
      <c r="A79" s="1" t="s">
        <v>13</v>
      </c>
      <c r="B79" s="0" t="n">
        <v>29</v>
      </c>
      <c r="C79" s="0" t="n">
        <v>60</v>
      </c>
      <c r="D79" s="0" t="n">
        <v>1998</v>
      </c>
      <c r="E79" s="0" t="n">
        <v>2021</v>
      </c>
      <c r="F79" s="1" t="s">
        <v>19</v>
      </c>
      <c r="G79" s="0" t="n">
        <v>38000000</v>
      </c>
      <c r="H79" s="0" t="n">
        <f aca="false">LN(G79/C79)</f>
        <v>13.3587521554686</v>
      </c>
      <c r="I79" s="0" t="n">
        <f aca="false">B79</f>
        <v>29</v>
      </c>
      <c r="J79" s="0" t="n">
        <f aca="false">E79-D79</f>
        <v>23</v>
      </c>
      <c r="K79" s="0" t="n">
        <f aca="false">C79</f>
        <v>60</v>
      </c>
      <c r="L79" s="0" t="n">
        <f aca="false">IF(F79="改装済み",1,0)</f>
        <v>0</v>
      </c>
      <c r="M79" s="0" t="n">
        <f aca="false">IF(A79="池尻大橋",1,0)</f>
        <v>0</v>
      </c>
      <c r="N79" s="0" t="n">
        <f aca="false">IF(A79="三軒茶屋",1,0)</f>
        <v>0</v>
      </c>
      <c r="O79" s="0" t="n">
        <f aca="false">IF(A79="駒沢大学",1,0)</f>
        <v>0</v>
      </c>
      <c r="P79" s="0" t="n">
        <f aca="false">IF(A79="桜新町",1,0)</f>
        <v>0</v>
      </c>
      <c r="Q79" s="0" t="n">
        <f aca="false">IF(A79="二子玉川",1,0)</f>
        <v>1</v>
      </c>
      <c r="R79" s="0" t="n">
        <f aca="false">IF(E79=2021,1,0)</f>
        <v>1</v>
      </c>
      <c r="S79" s="0" t="n">
        <f aca="false">IF(E79=2022,1,0)</f>
        <v>0</v>
      </c>
      <c r="T79" s="0" t="n">
        <f aca="false">IF(E79=2023,1,0)</f>
        <v>0</v>
      </c>
      <c r="U79" s="0" t="n">
        <f aca="false">IF(E79=2024,1,0)</f>
        <v>0</v>
      </c>
    </row>
    <row r="80" customFormat="false" ht="15" hidden="false" customHeight="false" outlineLevel="0" collapsed="false">
      <c r="A80" s="1" t="s">
        <v>13</v>
      </c>
      <c r="B80" s="0" t="n">
        <v>14</v>
      </c>
      <c r="C80" s="0" t="n">
        <v>55</v>
      </c>
      <c r="D80" s="0" t="n">
        <v>1984</v>
      </c>
      <c r="E80" s="0" t="n">
        <v>2021</v>
      </c>
      <c r="F80" s="1" t="s">
        <v>18</v>
      </c>
      <c r="G80" s="0" t="n">
        <v>41000000</v>
      </c>
      <c r="H80" s="0" t="n">
        <f aca="false">LN(G80/C80)</f>
        <v>13.5217494394361</v>
      </c>
      <c r="I80" s="0" t="n">
        <f aca="false">B80</f>
        <v>14</v>
      </c>
      <c r="J80" s="0" t="n">
        <f aca="false">E80-D80</f>
        <v>37</v>
      </c>
      <c r="K80" s="0" t="n">
        <f aca="false">C80</f>
        <v>55</v>
      </c>
      <c r="L80" s="0" t="n">
        <f aca="false">IF(F80="改装済み",1,0)</f>
        <v>1</v>
      </c>
      <c r="M80" s="0" t="n">
        <f aca="false">IF(A80="池尻大橋",1,0)</f>
        <v>0</v>
      </c>
      <c r="N80" s="0" t="n">
        <f aca="false">IF(A80="三軒茶屋",1,0)</f>
        <v>0</v>
      </c>
      <c r="O80" s="0" t="n">
        <f aca="false">IF(A80="駒沢大学",1,0)</f>
        <v>0</v>
      </c>
      <c r="P80" s="0" t="n">
        <f aca="false">IF(A80="桜新町",1,0)</f>
        <v>0</v>
      </c>
      <c r="Q80" s="0" t="n">
        <f aca="false">IF(A80="二子玉川",1,0)</f>
        <v>1</v>
      </c>
      <c r="R80" s="0" t="n">
        <f aca="false">IF(E80=2021,1,0)</f>
        <v>1</v>
      </c>
      <c r="S80" s="0" t="n">
        <f aca="false">IF(E80=2022,1,0)</f>
        <v>0</v>
      </c>
      <c r="T80" s="0" t="n">
        <f aca="false">IF(E80=2023,1,0)</f>
        <v>0</v>
      </c>
      <c r="U80" s="0" t="n">
        <f aca="false">IF(E80=2024,1,0)</f>
        <v>0</v>
      </c>
    </row>
    <row r="81" customFormat="false" ht="15" hidden="false" customHeight="false" outlineLevel="0" collapsed="false">
      <c r="A81" s="1" t="s">
        <v>13</v>
      </c>
      <c r="B81" s="0" t="n">
        <v>23</v>
      </c>
      <c r="C81" s="0" t="n">
        <v>65</v>
      </c>
      <c r="D81" s="0" t="n">
        <v>2017</v>
      </c>
      <c r="E81" s="0" t="n">
        <v>2021</v>
      </c>
      <c r="F81" s="1" t="s">
        <v>19</v>
      </c>
      <c r="G81" s="0" t="n">
        <v>48000000</v>
      </c>
      <c r="H81" s="0" t="n">
        <f aca="false">LN(G81/C81)</f>
        <v>13.5123242989765</v>
      </c>
      <c r="I81" s="0" t="n">
        <f aca="false">B81</f>
        <v>23</v>
      </c>
      <c r="J81" s="0" t="n">
        <f aca="false">E81-D81</f>
        <v>4</v>
      </c>
      <c r="K81" s="0" t="n">
        <f aca="false">C81</f>
        <v>65</v>
      </c>
      <c r="L81" s="0" t="n">
        <f aca="false">IF(F81="改装済み",1,0)</f>
        <v>0</v>
      </c>
      <c r="M81" s="0" t="n">
        <f aca="false">IF(A81="池尻大橋",1,0)</f>
        <v>0</v>
      </c>
      <c r="N81" s="0" t="n">
        <f aca="false">IF(A81="三軒茶屋",1,0)</f>
        <v>0</v>
      </c>
      <c r="O81" s="0" t="n">
        <f aca="false">IF(A81="駒沢大学",1,0)</f>
        <v>0</v>
      </c>
      <c r="P81" s="0" t="n">
        <f aca="false">IF(A81="桜新町",1,0)</f>
        <v>0</v>
      </c>
      <c r="Q81" s="0" t="n">
        <f aca="false">IF(A81="二子玉川",1,0)</f>
        <v>1</v>
      </c>
      <c r="R81" s="0" t="n">
        <f aca="false">IF(E81=2021,1,0)</f>
        <v>1</v>
      </c>
      <c r="S81" s="0" t="n">
        <f aca="false">IF(E81=2022,1,0)</f>
        <v>0</v>
      </c>
      <c r="T81" s="0" t="n">
        <f aca="false">IF(E81=2023,1,0)</f>
        <v>0</v>
      </c>
      <c r="U81" s="0" t="n">
        <f aca="false">IF(E81=2024,1,0)</f>
        <v>0</v>
      </c>
    </row>
    <row r="82" customFormat="false" ht="15" hidden="false" customHeight="false" outlineLevel="0" collapsed="false">
      <c r="A82" s="1" t="s">
        <v>13</v>
      </c>
      <c r="B82" s="0" t="n">
        <v>26</v>
      </c>
      <c r="C82" s="0" t="n">
        <v>75</v>
      </c>
      <c r="D82" s="0" t="n">
        <v>2004</v>
      </c>
      <c r="E82" s="0" t="n">
        <v>2021</v>
      </c>
      <c r="F82" s="1" t="s">
        <v>18</v>
      </c>
      <c r="G82" s="0" t="n">
        <v>53000000</v>
      </c>
      <c r="H82" s="0" t="n">
        <f aca="false">LN(G82/C82)</f>
        <v>13.4683143579801</v>
      </c>
      <c r="I82" s="0" t="n">
        <f aca="false">B82</f>
        <v>26</v>
      </c>
      <c r="J82" s="0" t="n">
        <f aca="false">E82-D82</f>
        <v>17</v>
      </c>
      <c r="K82" s="0" t="n">
        <f aca="false">C82</f>
        <v>75</v>
      </c>
      <c r="L82" s="0" t="n">
        <f aca="false">IF(F82="改装済み",1,0)</f>
        <v>1</v>
      </c>
      <c r="M82" s="0" t="n">
        <f aca="false">IF(A82="池尻大橋",1,0)</f>
        <v>0</v>
      </c>
      <c r="N82" s="0" t="n">
        <f aca="false">IF(A82="三軒茶屋",1,0)</f>
        <v>0</v>
      </c>
      <c r="O82" s="0" t="n">
        <f aca="false">IF(A82="駒沢大学",1,0)</f>
        <v>0</v>
      </c>
      <c r="P82" s="0" t="n">
        <f aca="false">IF(A82="桜新町",1,0)</f>
        <v>0</v>
      </c>
      <c r="Q82" s="0" t="n">
        <f aca="false">IF(A82="二子玉川",1,0)</f>
        <v>1</v>
      </c>
      <c r="R82" s="0" t="n">
        <f aca="false">IF(E82=2021,1,0)</f>
        <v>1</v>
      </c>
      <c r="S82" s="0" t="n">
        <f aca="false">IF(E82=2022,1,0)</f>
        <v>0</v>
      </c>
      <c r="T82" s="0" t="n">
        <f aca="false">IF(E82=2023,1,0)</f>
        <v>0</v>
      </c>
      <c r="U82" s="0" t="n">
        <f aca="false">IF(E82=2024,1,0)</f>
        <v>0</v>
      </c>
    </row>
    <row r="83" customFormat="false" ht="15" hidden="false" customHeight="false" outlineLevel="0" collapsed="false">
      <c r="A83" s="1" t="s">
        <v>20</v>
      </c>
      <c r="B83" s="0" t="n">
        <v>26</v>
      </c>
      <c r="C83" s="0" t="n">
        <v>70</v>
      </c>
      <c r="D83" s="0" t="n">
        <v>2007</v>
      </c>
      <c r="E83" s="0" t="n">
        <v>2025</v>
      </c>
      <c r="F83" s="1" t="s">
        <v>18</v>
      </c>
      <c r="G83" s="0" t="n">
        <v>51000000</v>
      </c>
      <c r="H83" s="0" t="n">
        <f aca="false">LN(G83/C83)</f>
        <v>13.4988409486392</v>
      </c>
      <c r="I83" s="0" t="n">
        <f aca="false">B83</f>
        <v>26</v>
      </c>
      <c r="J83" s="0" t="n">
        <f aca="false">E83-D83</f>
        <v>18</v>
      </c>
      <c r="K83" s="0" t="n">
        <f aca="false">C83</f>
        <v>70</v>
      </c>
      <c r="L83" s="0" t="n">
        <f aca="false">IF(F83="改装済み",1,0)</f>
        <v>1</v>
      </c>
      <c r="M83" s="0" t="n">
        <f aca="false">IF(A83="池尻大橋",1,0)</f>
        <v>0</v>
      </c>
      <c r="N83" s="0" t="n">
        <f aca="false">IF(A83="三軒茶屋",1,0)</f>
        <v>0</v>
      </c>
      <c r="O83" s="0" t="n">
        <f aca="false">IF(A83="駒沢大学",1,0)</f>
        <v>0</v>
      </c>
      <c r="P83" s="0" t="n">
        <f aca="false">IF(A83="桜新町",1,0)</f>
        <v>0</v>
      </c>
      <c r="Q83" s="0" t="n">
        <f aca="false">IF(A83="二子玉川",1,0)</f>
        <v>0</v>
      </c>
      <c r="R83" s="0" t="n">
        <f aca="false">IF(E83=2021,1,0)</f>
        <v>0</v>
      </c>
      <c r="S83" s="0" t="n">
        <f aca="false">IF(E83=2022,1,0)</f>
        <v>0</v>
      </c>
      <c r="T83" s="0" t="n">
        <f aca="false">IF(E83=2023,1,0)</f>
        <v>0</v>
      </c>
      <c r="U83" s="0" t="n">
        <f aca="false">IF(E83=2024,1,0)</f>
        <v>0</v>
      </c>
    </row>
    <row r="84" customFormat="false" ht="15" hidden="false" customHeight="false" outlineLevel="0" collapsed="false">
      <c r="A84" s="1" t="s">
        <v>11</v>
      </c>
      <c r="B84" s="0" t="n">
        <v>7</v>
      </c>
      <c r="C84" s="0" t="n">
        <v>60</v>
      </c>
      <c r="D84" s="0" t="n">
        <v>2003</v>
      </c>
      <c r="E84" s="0" t="n">
        <v>2024</v>
      </c>
      <c r="F84" s="1" t="s">
        <v>19</v>
      </c>
      <c r="G84" s="0" t="n">
        <v>62000000</v>
      </c>
      <c r="H84" s="0" t="n">
        <f aca="false">LN(G84/C84)</f>
        <v>13.8483003807873</v>
      </c>
      <c r="I84" s="0" t="n">
        <f aca="false">B84</f>
        <v>7</v>
      </c>
      <c r="J84" s="0" t="n">
        <f aca="false">E84-D84</f>
        <v>21</v>
      </c>
      <c r="K84" s="0" t="n">
        <f aca="false">C84</f>
        <v>60</v>
      </c>
      <c r="L84" s="0" t="n">
        <f aca="false">IF(F84="改装済み",1,0)</f>
        <v>0</v>
      </c>
      <c r="M84" s="0" t="n">
        <f aca="false">IF(A84="池尻大橋",1,0)</f>
        <v>0</v>
      </c>
      <c r="N84" s="0" t="n">
        <f aca="false">IF(A84="三軒茶屋",1,0)</f>
        <v>0</v>
      </c>
      <c r="O84" s="0" t="n">
        <f aca="false">IF(A84="駒沢大学",1,0)</f>
        <v>1</v>
      </c>
      <c r="P84" s="0" t="n">
        <f aca="false">IF(A84="桜新町",1,0)</f>
        <v>0</v>
      </c>
      <c r="Q84" s="0" t="n">
        <f aca="false">IF(A84="二子玉川",1,0)</f>
        <v>0</v>
      </c>
      <c r="R84" s="0" t="n">
        <f aca="false">IF(E84=2021,1,0)</f>
        <v>0</v>
      </c>
      <c r="S84" s="0" t="n">
        <f aca="false">IF(E84=2022,1,0)</f>
        <v>0</v>
      </c>
      <c r="T84" s="0" t="n">
        <f aca="false">IF(E84=2023,1,0)</f>
        <v>0</v>
      </c>
      <c r="U84" s="0" t="n">
        <f aca="false">IF(E84=2024,1,0)</f>
        <v>1</v>
      </c>
    </row>
    <row r="85" customFormat="false" ht="15" hidden="false" customHeight="false" outlineLevel="0" collapsed="false">
      <c r="A85" s="1" t="s">
        <v>11</v>
      </c>
      <c r="B85" s="0" t="n">
        <v>10</v>
      </c>
      <c r="C85" s="0" t="n">
        <v>55</v>
      </c>
      <c r="D85" s="0" t="n">
        <v>1997</v>
      </c>
      <c r="E85" s="0" t="n">
        <v>2024</v>
      </c>
      <c r="F85" s="1" t="s">
        <v>18</v>
      </c>
      <c r="G85" s="0" t="n">
        <v>61000000</v>
      </c>
      <c r="H85" s="0" t="n">
        <f aca="false">LN(G85/C85)</f>
        <v>13.9190512369051</v>
      </c>
      <c r="I85" s="0" t="n">
        <f aca="false">B85</f>
        <v>10</v>
      </c>
      <c r="J85" s="0" t="n">
        <f aca="false">E85-D85</f>
        <v>27</v>
      </c>
      <c r="K85" s="0" t="n">
        <f aca="false">C85</f>
        <v>55</v>
      </c>
      <c r="L85" s="0" t="n">
        <f aca="false">IF(F85="改装済み",1,0)</f>
        <v>1</v>
      </c>
      <c r="M85" s="0" t="n">
        <f aca="false">IF(A85="池尻大橋",1,0)</f>
        <v>0</v>
      </c>
      <c r="N85" s="0" t="n">
        <f aca="false">IF(A85="三軒茶屋",1,0)</f>
        <v>0</v>
      </c>
      <c r="O85" s="0" t="n">
        <f aca="false">IF(A85="駒沢大学",1,0)</f>
        <v>1</v>
      </c>
      <c r="P85" s="0" t="n">
        <f aca="false">IF(A85="桜新町",1,0)</f>
        <v>0</v>
      </c>
      <c r="Q85" s="0" t="n">
        <f aca="false">IF(A85="二子玉川",1,0)</f>
        <v>0</v>
      </c>
      <c r="R85" s="0" t="n">
        <f aca="false">IF(E85=2021,1,0)</f>
        <v>0</v>
      </c>
      <c r="S85" s="0" t="n">
        <f aca="false">IF(E85=2022,1,0)</f>
        <v>0</v>
      </c>
      <c r="T85" s="0" t="n">
        <f aca="false">IF(E85=2023,1,0)</f>
        <v>0</v>
      </c>
      <c r="U85" s="0" t="n">
        <f aca="false">IF(E85=2024,1,0)</f>
        <v>1</v>
      </c>
    </row>
    <row r="86" customFormat="false" ht="15" hidden="false" customHeight="false" outlineLevel="0" collapsed="false">
      <c r="A86" s="1" t="s">
        <v>11</v>
      </c>
      <c r="B86" s="0" t="n">
        <v>10</v>
      </c>
      <c r="C86" s="0" t="n">
        <v>75</v>
      </c>
      <c r="D86" s="0" t="n">
        <v>2001</v>
      </c>
      <c r="E86" s="0" t="n">
        <v>2024</v>
      </c>
      <c r="F86" s="1" t="s">
        <v>19</v>
      </c>
      <c r="G86" s="0" t="n">
        <v>88000000</v>
      </c>
      <c r="H86" s="0" t="n">
        <f aca="false">LN(G86/C86)</f>
        <v>13.9753592589062</v>
      </c>
      <c r="I86" s="0" t="n">
        <f aca="false">B86</f>
        <v>10</v>
      </c>
      <c r="J86" s="0" t="n">
        <f aca="false">E86-D86</f>
        <v>23</v>
      </c>
      <c r="K86" s="0" t="n">
        <f aca="false">C86</f>
        <v>75</v>
      </c>
      <c r="L86" s="0" t="n">
        <f aca="false">IF(F86="改装済み",1,0)</f>
        <v>0</v>
      </c>
      <c r="M86" s="0" t="n">
        <f aca="false">IF(A86="池尻大橋",1,0)</f>
        <v>0</v>
      </c>
      <c r="N86" s="0" t="n">
        <f aca="false">IF(A86="三軒茶屋",1,0)</f>
        <v>0</v>
      </c>
      <c r="O86" s="0" t="n">
        <f aca="false">IF(A86="駒沢大学",1,0)</f>
        <v>1</v>
      </c>
      <c r="P86" s="0" t="n">
        <f aca="false">IF(A86="桜新町",1,0)</f>
        <v>0</v>
      </c>
      <c r="Q86" s="0" t="n">
        <f aca="false">IF(A86="二子玉川",1,0)</f>
        <v>0</v>
      </c>
      <c r="R86" s="0" t="n">
        <f aca="false">IF(E86=2021,1,0)</f>
        <v>0</v>
      </c>
      <c r="S86" s="0" t="n">
        <f aca="false">IF(E86=2022,1,0)</f>
        <v>0</v>
      </c>
      <c r="T86" s="0" t="n">
        <f aca="false">IF(E86=2023,1,0)</f>
        <v>0</v>
      </c>
      <c r="U86" s="0" t="n">
        <f aca="false">IF(E86=2024,1,0)</f>
        <v>1</v>
      </c>
    </row>
    <row r="87" customFormat="false" ht="15" hidden="false" customHeight="false" outlineLevel="0" collapsed="false">
      <c r="A87" s="1" t="s">
        <v>11</v>
      </c>
      <c r="B87" s="0" t="n">
        <v>7</v>
      </c>
      <c r="C87" s="0" t="n">
        <v>50</v>
      </c>
      <c r="D87" s="0" t="n">
        <v>2003</v>
      </c>
      <c r="E87" s="0" t="n">
        <v>2024</v>
      </c>
      <c r="F87" s="1" t="s">
        <v>19</v>
      </c>
      <c r="G87" s="0" t="n">
        <v>61000000</v>
      </c>
      <c r="H87" s="0" t="n">
        <f aca="false">LN(G87/C87)</f>
        <v>14.0143614167094</v>
      </c>
      <c r="I87" s="0" t="n">
        <f aca="false">B87</f>
        <v>7</v>
      </c>
      <c r="J87" s="0" t="n">
        <f aca="false">E87-D87</f>
        <v>21</v>
      </c>
      <c r="K87" s="0" t="n">
        <f aca="false">C87</f>
        <v>50</v>
      </c>
      <c r="L87" s="0" t="n">
        <f aca="false">IF(F87="改装済み",1,0)</f>
        <v>0</v>
      </c>
      <c r="M87" s="0" t="n">
        <f aca="false">IF(A87="池尻大橋",1,0)</f>
        <v>0</v>
      </c>
      <c r="N87" s="0" t="n">
        <f aca="false">IF(A87="三軒茶屋",1,0)</f>
        <v>0</v>
      </c>
      <c r="O87" s="0" t="n">
        <f aca="false">IF(A87="駒沢大学",1,0)</f>
        <v>1</v>
      </c>
      <c r="P87" s="0" t="n">
        <f aca="false">IF(A87="桜新町",1,0)</f>
        <v>0</v>
      </c>
      <c r="Q87" s="0" t="n">
        <f aca="false">IF(A87="二子玉川",1,0)</f>
        <v>0</v>
      </c>
      <c r="R87" s="0" t="n">
        <f aca="false">IF(E87=2021,1,0)</f>
        <v>0</v>
      </c>
      <c r="S87" s="0" t="n">
        <f aca="false">IF(E87=2022,1,0)</f>
        <v>0</v>
      </c>
      <c r="T87" s="0" t="n">
        <f aca="false">IF(E87=2023,1,0)</f>
        <v>0</v>
      </c>
      <c r="U87" s="0" t="n">
        <f aca="false">IF(E87=2024,1,0)</f>
        <v>1</v>
      </c>
    </row>
    <row r="88" customFormat="false" ht="15" hidden="false" customHeight="false" outlineLevel="0" collapsed="false">
      <c r="A88" s="1" t="s">
        <v>11</v>
      </c>
      <c r="B88" s="0" t="n">
        <v>7</v>
      </c>
      <c r="C88" s="0" t="n">
        <v>60</v>
      </c>
      <c r="D88" s="0" t="n">
        <v>2006</v>
      </c>
      <c r="E88" s="0" t="n">
        <v>2023</v>
      </c>
      <c r="F88" s="1" t="s">
        <v>19</v>
      </c>
      <c r="G88" s="0" t="n">
        <v>55000000</v>
      </c>
      <c r="H88" s="0" t="n">
        <f aca="false">LN(G88/C88)</f>
        <v>13.7284991809746</v>
      </c>
      <c r="I88" s="0" t="n">
        <f aca="false">B88</f>
        <v>7</v>
      </c>
      <c r="J88" s="0" t="n">
        <f aca="false">E88-D88</f>
        <v>17</v>
      </c>
      <c r="K88" s="0" t="n">
        <f aca="false">C88</f>
        <v>60</v>
      </c>
      <c r="L88" s="0" t="n">
        <f aca="false">IF(F88="改装済み",1,0)</f>
        <v>0</v>
      </c>
      <c r="M88" s="0" t="n">
        <f aca="false">IF(A88="池尻大橋",1,0)</f>
        <v>0</v>
      </c>
      <c r="N88" s="0" t="n">
        <f aca="false">IF(A88="三軒茶屋",1,0)</f>
        <v>0</v>
      </c>
      <c r="O88" s="0" t="n">
        <f aca="false">IF(A88="駒沢大学",1,0)</f>
        <v>1</v>
      </c>
      <c r="P88" s="0" t="n">
        <f aca="false">IF(A88="桜新町",1,0)</f>
        <v>0</v>
      </c>
      <c r="Q88" s="0" t="n">
        <f aca="false">IF(A88="二子玉川",1,0)</f>
        <v>0</v>
      </c>
      <c r="R88" s="0" t="n">
        <f aca="false">IF(E88=2021,1,0)</f>
        <v>0</v>
      </c>
      <c r="S88" s="0" t="n">
        <f aca="false">IF(E88=2022,1,0)</f>
        <v>0</v>
      </c>
      <c r="T88" s="0" t="n">
        <f aca="false">IF(E88=2023,1,0)</f>
        <v>1</v>
      </c>
      <c r="U88" s="0" t="n">
        <f aca="false">IF(E88=2024,1,0)</f>
        <v>0</v>
      </c>
    </row>
    <row r="89" customFormat="false" ht="15" hidden="false" customHeight="false" outlineLevel="0" collapsed="false">
      <c r="A89" s="1" t="s">
        <v>11</v>
      </c>
      <c r="B89" s="0" t="n">
        <v>1</v>
      </c>
      <c r="C89" s="0" t="n">
        <v>65</v>
      </c>
      <c r="D89" s="0" t="n">
        <v>2018</v>
      </c>
      <c r="E89" s="0" t="n">
        <v>2023</v>
      </c>
      <c r="F89" s="1" t="s">
        <v>19</v>
      </c>
      <c r="G89" s="0" t="n">
        <v>100000000</v>
      </c>
      <c r="H89" s="0" t="n">
        <f aca="false">LN(G89/C89)</f>
        <v>14.2462934740567</v>
      </c>
      <c r="I89" s="0" t="n">
        <f aca="false">B89</f>
        <v>1</v>
      </c>
      <c r="J89" s="0" t="n">
        <f aca="false">E89-D89</f>
        <v>5</v>
      </c>
      <c r="K89" s="0" t="n">
        <f aca="false">C89</f>
        <v>65</v>
      </c>
      <c r="L89" s="0" t="n">
        <f aca="false">IF(F89="改装済み",1,0)</f>
        <v>0</v>
      </c>
      <c r="M89" s="0" t="n">
        <f aca="false">IF(A89="池尻大橋",1,0)</f>
        <v>0</v>
      </c>
      <c r="N89" s="0" t="n">
        <f aca="false">IF(A89="三軒茶屋",1,0)</f>
        <v>0</v>
      </c>
      <c r="O89" s="0" t="n">
        <f aca="false">IF(A89="駒沢大学",1,0)</f>
        <v>1</v>
      </c>
      <c r="P89" s="0" t="n">
        <f aca="false">IF(A89="桜新町",1,0)</f>
        <v>0</v>
      </c>
      <c r="Q89" s="0" t="n">
        <f aca="false">IF(A89="二子玉川",1,0)</f>
        <v>0</v>
      </c>
      <c r="R89" s="0" t="n">
        <f aca="false">IF(E89=2021,1,0)</f>
        <v>0</v>
      </c>
      <c r="S89" s="0" t="n">
        <f aca="false">IF(E89=2022,1,0)</f>
        <v>0</v>
      </c>
      <c r="T89" s="0" t="n">
        <f aca="false">IF(E89=2023,1,0)</f>
        <v>1</v>
      </c>
      <c r="U89" s="0" t="n">
        <f aca="false">IF(E89=2024,1,0)</f>
        <v>0</v>
      </c>
    </row>
    <row r="90" customFormat="false" ht="15" hidden="false" customHeight="false" outlineLevel="0" collapsed="false">
      <c r="A90" s="1" t="s">
        <v>11</v>
      </c>
      <c r="B90" s="0" t="n">
        <v>3</v>
      </c>
      <c r="C90" s="0" t="n">
        <v>95</v>
      </c>
      <c r="D90" s="0" t="n">
        <v>1984</v>
      </c>
      <c r="E90" s="0" t="n">
        <v>2023</v>
      </c>
      <c r="F90" s="1" t="s">
        <v>19</v>
      </c>
      <c r="G90" s="0" t="n">
        <v>95000000</v>
      </c>
      <c r="H90" s="0" t="n">
        <f aca="false">LN(G90/C90)</f>
        <v>13.8155105579643</v>
      </c>
      <c r="I90" s="0" t="n">
        <f aca="false">B90</f>
        <v>3</v>
      </c>
      <c r="J90" s="0" t="n">
        <f aca="false">E90-D90</f>
        <v>39</v>
      </c>
      <c r="K90" s="0" t="n">
        <f aca="false">C90</f>
        <v>95</v>
      </c>
      <c r="L90" s="0" t="n">
        <f aca="false">IF(F90="改装済み",1,0)</f>
        <v>0</v>
      </c>
      <c r="M90" s="0" t="n">
        <f aca="false">IF(A90="池尻大橋",1,0)</f>
        <v>0</v>
      </c>
      <c r="N90" s="0" t="n">
        <f aca="false">IF(A90="三軒茶屋",1,0)</f>
        <v>0</v>
      </c>
      <c r="O90" s="0" t="n">
        <f aca="false">IF(A90="駒沢大学",1,0)</f>
        <v>1</v>
      </c>
      <c r="P90" s="0" t="n">
        <f aca="false">IF(A90="桜新町",1,0)</f>
        <v>0</v>
      </c>
      <c r="Q90" s="0" t="n">
        <f aca="false">IF(A90="二子玉川",1,0)</f>
        <v>0</v>
      </c>
      <c r="R90" s="0" t="n">
        <f aca="false">IF(E90=2021,1,0)</f>
        <v>0</v>
      </c>
      <c r="S90" s="0" t="n">
        <f aca="false">IF(E90=2022,1,0)</f>
        <v>0</v>
      </c>
      <c r="T90" s="0" t="n">
        <f aca="false">IF(E90=2023,1,0)</f>
        <v>1</v>
      </c>
      <c r="U90" s="0" t="n">
        <f aca="false">IF(E90=2024,1,0)</f>
        <v>0</v>
      </c>
    </row>
    <row r="91" customFormat="false" ht="15" hidden="false" customHeight="false" outlineLevel="0" collapsed="false">
      <c r="A91" s="1" t="s">
        <v>11</v>
      </c>
      <c r="B91" s="0" t="n">
        <v>2</v>
      </c>
      <c r="C91" s="0" t="n">
        <v>65</v>
      </c>
      <c r="D91" s="0" t="n">
        <v>1970</v>
      </c>
      <c r="E91" s="0" t="n">
        <v>2023</v>
      </c>
      <c r="F91" s="1" t="s">
        <v>18</v>
      </c>
      <c r="G91" s="0" t="n">
        <v>53000000</v>
      </c>
      <c r="H91" s="0" t="n">
        <f aca="false">LN(G91/C91)</f>
        <v>13.6114152016208</v>
      </c>
      <c r="I91" s="0" t="n">
        <f aca="false">B91</f>
        <v>2</v>
      </c>
      <c r="J91" s="0" t="n">
        <f aca="false">E91-D91</f>
        <v>53</v>
      </c>
      <c r="K91" s="0" t="n">
        <f aca="false">C91</f>
        <v>65</v>
      </c>
      <c r="L91" s="0" t="n">
        <f aca="false">IF(F91="改装済み",1,0)</f>
        <v>1</v>
      </c>
      <c r="M91" s="0" t="n">
        <f aca="false">IF(A91="池尻大橋",1,0)</f>
        <v>0</v>
      </c>
      <c r="N91" s="0" t="n">
        <f aca="false">IF(A91="三軒茶屋",1,0)</f>
        <v>0</v>
      </c>
      <c r="O91" s="0" t="n">
        <f aca="false">IF(A91="駒沢大学",1,0)</f>
        <v>1</v>
      </c>
      <c r="P91" s="0" t="n">
        <f aca="false">IF(A91="桜新町",1,0)</f>
        <v>0</v>
      </c>
      <c r="Q91" s="0" t="n">
        <f aca="false">IF(A91="二子玉川",1,0)</f>
        <v>0</v>
      </c>
      <c r="R91" s="0" t="n">
        <f aca="false">IF(E91=2021,1,0)</f>
        <v>0</v>
      </c>
      <c r="S91" s="0" t="n">
        <f aca="false">IF(E91=2022,1,0)</f>
        <v>0</v>
      </c>
      <c r="T91" s="0" t="n">
        <f aca="false">IF(E91=2023,1,0)</f>
        <v>1</v>
      </c>
      <c r="U91" s="0" t="n">
        <f aca="false">IF(E91=2024,1,0)</f>
        <v>0</v>
      </c>
    </row>
    <row r="92" customFormat="false" ht="15" hidden="false" customHeight="false" outlineLevel="0" collapsed="false">
      <c r="A92" s="1" t="s">
        <v>11</v>
      </c>
      <c r="B92" s="0" t="n">
        <v>8</v>
      </c>
      <c r="C92" s="0" t="n">
        <v>60</v>
      </c>
      <c r="D92" s="0" t="n">
        <v>1969</v>
      </c>
      <c r="E92" s="0" t="n">
        <v>2023</v>
      </c>
      <c r="F92" s="1" t="s">
        <v>18</v>
      </c>
      <c r="G92" s="0" t="n">
        <v>43000000</v>
      </c>
      <c r="H92" s="0" t="n">
        <f aca="false">LN(G92/C92)</f>
        <v>13.4823661114357</v>
      </c>
      <c r="I92" s="0" t="n">
        <f aca="false">B92</f>
        <v>8</v>
      </c>
      <c r="J92" s="0" t="n">
        <f aca="false">E92-D92</f>
        <v>54</v>
      </c>
      <c r="K92" s="0" t="n">
        <f aca="false">C92</f>
        <v>60</v>
      </c>
      <c r="L92" s="0" t="n">
        <f aca="false">IF(F92="改装済み",1,0)</f>
        <v>1</v>
      </c>
      <c r="M92" s="0" t="n">
        <f aca="false">IF(A92="池尻大橋",1,0)</f>
        <v>0</v>
      </c>
      <c r="N92" s="0" t="n">
        <f aca="false">IF(A92="三軒茶屋",1,0)</f>
        <v>0</v>
      </c>
      <c r="O92" s="0" t="n">
        <f aca="false">IF(A92="駒沢大学",1,0)</f>
        <v>1</v>
      </c>
      <c r="P92" s="0" t="n">
        <f aca="false">IF(A92="桜新町",1,0)</f>
        <v>0</v>
      </c>
      <c r="Q92" s="0" t="n">
        <f aca="false">IF(A92="二子玉川",1,0)</f>
        <v>0</v>
      </c>
      <c r="R92" s="0" t="n">
        <f aca="false">IF(E92=2021,1,0)</f>
        <v>0</v>
      </c>
      <c r="S92" s="0" t="n">
        <f aca="false">IF(E92=2022,1,0)</f>
        <v>0</v>
      </c>
      <c r="T92" s="0" t="n">
        <f aca="false">IF(E92=2023,1,0)</f>
        <v>1</v>
      </c>
      <c r="U92" s="0" t="n">
        <f aca="false">IF(E92=2024,1,0)</f>
        <v>0</v>
      </c>
    </row>
    <row r="93" customFormat="false" ht="15" hidden="false" customHeight="false" outlineLevel="0" collapsed="false">
      <c r="A93" s="1" t="s">
        <v>11</v>
      </c>
      <c r="B93" s="0" t="n">
        <v>10</v>
      </c>
      <c r="C93" s="0" t="n">
        <v>75</v>
      </c>
      <c r="D93" s="0" t="n">
        <v>2001</v>
      </c>
      <c r="E93" s="0" t="n">
        <v>2022</v>
      </c>
      <c r="F93" s="1" t="s">
        <v>19</v>
      </c>
      <c r="G93" s="0" t="n">
        <v>65000000</v>
      </c>
      <c r="H93" s="0" t="n">
        <f aca="false">LN(G93/C93)</f>
        <v>13.6724097143236</v>
      </c>
      <c r="I93" s="0" t="n">
        <f aca="false">B93</f>
        <v>10</v>
      </c>
      <c r="J93" s="0" t="n">
        <f aca="false">E93-D93</f>
        <v>21</v>
      </c>
      <c r="K93" s="0" t="n">
        <f aca="false">C93</f>
        <v>75</v>
      </c>
      <c r="L93" s="0" t="n">
        <f aca="false">IF(F93="改装済み",1,0)</f>
        <v>0</v>
      </c>
      <c r="M93" s="0" t="n">
        <f aca="false">IF(A93="池尻大橋",1,0)</f>
        <v>0</v>
      </c>
      <c r="N93" s="0" t="n">
        <f aca="false">IF(A93="三軒茶屋",1,0)</f>
        <v>0</v>
      </c>
      <c r="O93" s="0" t="n">
        <f aca="false">IF(A93="駒沢大学",1,0)</f>
        <v>1</v>
      </c>
      <c r="P93" s="0" t="n">
        <f aca="false">IF(A93="桜新町",1,0)</f>
        <v>0</v>
      </c>
      <c r="Q93" s="0" t="n">
        <f aca="false">IF(A93="二子玉川",1,0)</f>
        <v>0</v>
      </c>
      <c r="R93" s="0" t="n">
        <f aca="false">IF(E93=2021,1,0)</f>
        <v>0</v>
      </c>
      <c r="S93" s="0" t="n">
        <f aca="false">IF(E93=2022,1,0)</f>
        <v>1</v>
      </c>
      <c r="T93" s="0" t="n">
        <f aca="false">IF(E93=2023,1,0)</f>
        <v>0</v>
      </c>
      <c r="U93" s="0" t="n">
        <f aca="false">IF(E93=2024,1,0)</f>
        <v>0</v>
      </c>
    </row>
    <row r="94" customFormat="false" ht="15" hidden="false" customHeight="false" outlineLevel="0" collapsed="false">
      <c r="A94" s="1" t="s">
        <v>11</v>
      </c>
      <c r="B94" s="0" t="n">
        <v>2</v>
      </c>
      <c r="C94" s="0" t="n">
        <v>55</v>
      </c>
      <c r="D94" s="0" t="n">
        <v>1970</v>
      </c>
      <c r="E94" s="0" t="n">
        <v>2021</v>
      </c>
      <c r="F94" s="1" t="s">
        <v>18</v>
      </c>
      <c r="G94" s="0" t="n">
        <v>49000000</v>
      </c>
      <c r="H94" s="0" t="n">
        <f aca="false">LN(G94/C94)</f>
        <v>13.6999976708424</v>
      </c>
      <c r="I94" s="0" t="n">
        <f aca="false">B94</f>
        <v>2</v>
      </c>
      <c r="J94" s="0" t="n">
        <f aca="false">E94-D94</f>
        <v>51</v>
      </c>
      <c r="K94" s="0" t="n">
        <f aca="false">C94</f>
        <v>55</v>
      </c>
      <c r="L94" s="0" t="n">
        <f aca="false">IF(F94="改装済み",1,0)</f>
        <v>1</v>
      </c>
      <c r="M94" s="0" t="n">
        <f aca="false">IF(A94="池尻大橋",1,0)</f>
        <v>0</v>
      </c>
      <c r="N94" s="0" t="n">
        <f aca="false">IF(A94="三軒茶屋",1,0)</f>
        <v>0</v>
      </c>
      <c r="O94" s="0" t="n">
        <f aca="false">IF(A94="駒沢大学",1,0)</f>
        <v>1</v>
      </c>
      <c r="P94" s="0" t="n">
        <f aca="false">IF(A94="桜新町",1,0)</f>
        <v>0</v>
      </c>
      <c r="Q94" s="0" t="n">
        <f aca="false">IF(A94="二子玉川",1,0)</f>
        <v>0</v>
      </c>
      <c r="R94" s="0" t="n">
        <f aca="false">IF(E94=2021,1,0)</f>
        <v>1</v>
      </c>
      <c r="S94" s="0" t="n">
        <f aca="false">IF(E94=2022,1,0)</f>
        <v>0</v>
      </c>
      <c r="T94" s="0" t="n">
        <f aca="false">IF(E94=2023,1,0)</f>
        <v>0</v>
      </c>
      <c r="U94" s="0" t="n">
        <f aca="false">IF(E94=2024,1,0)</f>
        <v>0</v>
      </c>
    </row>
    <row r="95" customFormat="false" ht="15" hidden="false" customHeight="false" outlineLevel="0" collapsed="false">
      <c r="A95" s="1" t="s">
        <v>11</v>
      </c>
      <c r="B95" s="0" t="n">
        <v>8</v>
      </c>
      <c r="C95" s="0" t="n">
        <v>70</v>
      </c>
      <c r="D95" s="0" t="n">
        <v>2016</v>
      </c>
      <c r="E95" s="0" t="n">
        <v>2021</v>
      </c>
      <c r="F95" s="1" t="s">
        <v>19</v>
      </c>
      <c r="G95" s="0" t="n">
        <v>60000000</v>
      </c>
      <c r="H95" s="0" t="n">
        <f aca="false">LN(G95/C95)</f>
        <v>13.661359878137</v>
      </c>
      <c r="I95" s="0" t="n">
        <f aca="false">B95</f>
        <v>8</v>
      </c>
      <c r="J95" s="0" t="n">
        <f aca="false">E95-D95</f>
        <v>5</v>
      </c>
      <c r="K95" s="0" t="n">
        <f aca="false">C95</f>
        <v>70</v>
      </c>
      <c r="L95" s="0" t="n">
        <f aca="false">IF(F95="改装済み",1,0)</f>
        <v>0</v>
      </c>
      <c r="M95" s="0" t="n">
        <f aca="false">IF(A95="池尻大橋",1,0)</f>
        <v>0</v>
      </c>
      <c r="N95" s="0" t="n">
        <f aca="false">IF(A95="三軒茶屋",1,0)</f>
        <v>0</v>
      </c>
      <c r="O95" s="0" t="n">
        <f aca="false">IF(A95="駒沢大学",1,0)</f>
        <v>1</v>
      </c>
      <c r="P95" s="0" t="n">
        <f aca="false">IF(A95="桜新町",1,0)</f>
        <v>0</v>
      </c>
      <c r="Q95" s="0" t="n">
        <f aca="false">IF(A95="二子玉川",1,0)</f>
        <v>0</v>
      </c>
      <c r="R95" s="0" t="n">
        <f aca="false">IF(E95=2021,1,0)</f>
        <v>1</v>
      </c>
      <c r="S95" s="0" t="n">
        <f aca="false">IF(E95=2022,1,0)</f>
        <v>0</v>
      </c>
      <c r="T95" s="0" t="n">
        <f aca="false">IF(E95=2023,1,0)</f>
        <v>0</v>
      </c>
      <c r="U95" s="0" t="n">
        <f aca="false">IF(E95=2024,1,0)</f>
        <v>0</v>
      </c>
    </row>
    <row r="96" customFormat="false" ht="15" hidden="false" customHeight="false" outlineLevel="0" collapsed="false">
      <c r="A96" s="1" t="s">
        <v>11</v>
      </c>
      <c r="B96" s="0" t="n">
        <v>8</v>
      </c>
      <c r="C96" s="0" t="n">
        <v>60</v>
      </c>
      <c r="D96" s="0" t="n">
        <v>1969</v>
      </c>
      <c r="E96" s="0" t="n">
        <v>2021</v>
      </c>
      <c r="F96" s="1" t="s">
        <v>18</v>
      </c>
      <c r="G96" s="0" t="n">
        <v>44000000</v>
      </c>
      <c r="H96" s="0" t="n">
        <f aca="false">LN(G96/C96)</f>
        <v>13.5053556296604</v>
      </c>
      <c r="I96" s="0" t="n">
        <f aca="false">B96</f>
        <v>8</v>
      </c>
      <c r="J96" s="0" t="n">
        <f aca="false">E96-D96</f>
        <v>52</v>
      </c>
      <c r="K96" s="0" t="n">
        <f aca="false">C96</f>
        <v>60</v>
      </c>
      <c r="L96" s="0" t="n">
        <f aca="false">IF(F96="改装済み",1,0)</f>
        <v>1</v>
      </c>
      <c r="M96" s="0" t="n">
        <f aca="false">IF(A96="池尻大橋",1,0)</f>
        <v>0</v>
      </c>
      <c r="N96" s="0" t="n">
        <f aca="false">IF(A96="三軒茶屋",1,0)</f>
        <v>0</v>
      </c>
      <c r="O96" s="0" t="n">
        <f aca="false">IF(A96="駒沢大学",1,0)</f>
        <v>1</v>
      </c>
      <c r="P96" s="0" t="n">
        <f aca="false">IF(A96="桜新町",1,0)</f>
        <v>0</v>
      </c>
      <c r="Q96" s="0" t="n">
        <f aca="false">IF(A96="二子玉川",1,0)</f>
        <v>0</v>
      </c>
      <c r="R96" s="0" t="n">
        <f aca="false">IF(E96=2021,1,0)</f>
        <v>1</v>
      </c>
      <c r="S96" s="0" t="n">
        <f aca="false">IF(E96=2022,1,0)</f>
        <v>0</v>
      </c>
      <c r="T96" s="0" t="n">
        <f aca="false">IF(E96=2023,1,0)</f>
        <v>0</v>
      </c>
      <c r="U96" s="0" t="n">
        <f aca="false">IF(E96=2024,1,0)</f>
        <v>0</v>
      </c>
    </row>
    <row r="97" customFormat="false" ht="15" hidden="false" customHeight="false" outlineLevel="0" collapsed="false">
      <c r="A97" s="1" t="s">
        <v>10</v>
      </c>
      <c r="B97" s="0" t="n">
        <v>8</v>
      </c>
      <c r="C97" s="0" t="n">
        <v>55</v>
      </c>
      <c r="D97" s="0" t="n">
        <v>1983</v>
      </c>
      <c r="E97" s="0" t="n">
        <v>2024</v>
      </c>
      <c r="F97" s="1" t="s">
        <v>18</v>
      </c>
      <c r="G97" s="0" t="n">
        <v>63000000</v>
      </c>
      <c r="H97" s="0" t="n">
        <f aca="false">LN(G97/C97)</f>
        <v>13.9513120991233</v>
      </c>
      <c r="I97" s="0" t="n">
        <f aca="false">B97</f>
        <v>8</v>
      </c>
      <c r="J97" s="0" t="n">
        <f aca="false">E97-D97</f>
        <v>41</v>
      </c>
      <c r="K97" s="0" t="n">
        <f aca="false">C97</f>
        <v>55</v>
      </c>
      <c r="L97" s="0" t="n">
        <f aca="false">IF(F97="改装済み",1,0)</f>
        <v>1</v>
      </c>
      <c r="M97" s="0" t="n">
        <f aca="false">IF(A97="池尻大橋",1,0)</f>
        <v>0</v>
      </c>
      <c r="N97" s="0" t="n">
        <f aca="false">IF(A97="三軒茶屋",1,0)</f>
        <v>1</v>
      </c>
      <c r="O97" s="0" t="n">
        <f aca="false">IF(A97="駒沢大学",1,0)</f>
        <v>0</v>
      </c>
      <c r="P97" s="0" t="n">
        <f aca="false">IF(A97="桜新町",1,0)</f>
        <v>0</v>
      </c>
      <c r="Q97" s="0" t="n">
        <f aca="false">IF(A97="二子玉川",1,0)</f>
        <v>0</v>
      </c>
      <c r="R97" s="0" t="n">
        <f aca="false">IF(E97=2021,1,0)</f>
        <v>0</v>
      </c>
      <c r="S97" s="0" t="n">
        <f aca="false">IF(E97=2022,1,0)</f>
        <v>0</v>
      </c>
      <c r="T97" s="0" t="n">
        <f aca="false">IF(E97=2023,1,0)</f>
        <v>0</v>
      </c>
      <c r="U97" s="0" t="n">
        <f aca="false">IF(E97=2024,1,0)</f>
        <v>1</v>
      </c>
    </row>
    <row r="98" customFormat="false" ht="15" hidden="false" customHeight="false" outlineLevel="0" collapsed="false">
      <c r="A98" s="1" t="s">
        <v>10</v>
      </c>
      <c r="B98" s="0" t="n">
        <v>8</v>
      </c>
      <c r="C98" s="0" t="n">
        <v>55</v>
      </c>
      <c r="D98" s="0" t="n">
        <v>1983</v>
      </c>
      <c r="E98" s="0" t="n">
        <v>2024</v>
      </c>
      <c r="F98" s="1" t="s">
        <v>19</v>
      </c>
      <c r="G98" s="0" t="n">
        <v>48000000</v>
      </c>
      <c r="H98" s="0" t="n">
        <f aca="false">LN(G98/C98)</f>
        <v>13.6793783836397</v>
      </c>
      <c r="I98" s="0" t="n">
        <f aca="false">B98</f>
        <v>8</v>
      </c>
      <c r="J98" s="0" t="n">
        <f aca="false">E98-D98</f>
        <v>41</v>
      </c>
      <c r="K98" s="0" t="n">
        <f aca="false">C98</f>
        <v>55</v>
      </c>
      <c r="L98" s="0" t="n">
        <f aca="false">IF(F98="改装済み",1,0)</f>
        <v>0</v>
      </c>
      <c r="M98" s="0" t="n">
        <f aca="false">IF(A98="池尻大橋",1,0)</f>
        <v>0</v>
      </c>
      <c r="N98" s="0" t="n">
        <f aca="false">IF(A98="三軒茶屋",1,0)</f>
        <v>1</v>
      </c>
      <c r="O98" s="0" t="n">
        <f aca="false">IF(A98="駒沢大学",1,0)</f>
        <v>0</v>
      </c>
      <c r="P98" s="0" t="n">
        <f aca="false">IF(A98="桜新町",1,0)</f>
        <v>0</v>
      </c>
      <c r="Q98" s="0" t="n">
        <f aca="false">IF(A98="二子玉川",1,0)</f>
        <v>0</v>
      </c>
      <c r="R98" s="0" t="n">
        <f aca="false">IF(E98=2021,1,0)</f>
        <v>0</v>
      </c>
      <c r="S98" s="0" t="n">
        <f aca="false">IF(E98=2022,1,0)</f>
        <v>0</v>
      </c>
      <c r="T98" s="0" t="n">
        <f aca="false">IF(E98=2023,1,0)</f>
        <v>0</v>
      </c>
      <c r="U98" s="0" t="n">
        <f aca="false">IF(E98=2024,1,0)</f>
        <v>1</v>
      </c>
    </row>
    <row r="99" customFormat="false" ht="15" hidden="false" customHeight="false" outlineLevel="0" collapsed="false">
      <c r="A99" s="1" t="s">
        <v>10</v>
      </c>
      <c r="B99" s="0" t="n">
        <v>8</v>
      </c>
      <c r="C99" s="0" t="n">
        <v>55</v>
      </c>
      <c r="D99" s="0" t="n">
        <v>1983</v>
      </c>
      <c r="E99" s="0" t="n">
        <v>2023</v>
      </c>
      <c r="F99" s="1" t="s">
        <v>18</v>
      </c>
      <c r="G99" s="0" t="n">
        <v>55000000</v>
      </c>
      <c r="H99" s="0" t="n">
        <f aca="false">LN(G99/C99)</f>
        <v>13.8155105579643</v>
      </c>
      <c r="I99" s="0" t="n">
        <f aca="false">B99</f>
        <v>8</v>
      </c>
      <c r="J99" s="0" t="n">
        <f aca="false">E99-D99</f>
        <v>40</v>
      </c>
      <c r="K99" s="0" t="n">
        <f aca="false">C99</f>
        <v>55</v>
      </c>
      <c r="L99" s="0" t="n">
        <f aca="false">IF(F99="改装済み",1,0)</f>
        <v>1</v>
      </c>
      <c r="M99" s="0" t="n">
        <f aca="false">IF(A99="池尻大橋",1,0)</f>
        <v>0</v>
      </c>
      <c r="N99" s="0" t="n">
        <f aca="false">IF(A99="三軒茶屋",1,0)</f>
        <v>1</v>
      </c>
      <c r="O99" s="0" t="n">
        <f aca="false">IF(A99="駒沢大学",1,0)</f>
        <v>0</v>
      </c>
      <c r="P99" s="0" t="n">
        <f aca="false">IF(A99="桜新町",1,0)</f>
        <v>0</v>
      </c>
      <c r="Q99" s="0" t="n">
        <f aca="false">IF(A99="二子玉川",1,0)</f>
        <v>0</v>
      </c>
      <c r="R99" s="0" t="n">
        <f aca="false">IF(E99=2021,1,0)</f>
        <v>0</v>
      </c>
      <c r="S99" s="0" t="n">
        <f aca="false">IF(E99=2022,1,0)</f>
        <v>0</v>
      </c>
      <c r="T99" s="0" t="n">
        <f aca="false">IF(E99=2023,1,0)</f>
        <v>1</v>
      </c>
      <c r="U99" s="0" t="n">
        <f aca="false">IF(E99=2024,1,0)</f>
        <v>0</v>
      </c>
    </row>
    <row r="100" customFormat="false" ht="15" hidden="false" customHeight="false" outlineLevel="0" collapsed="false">
      <c r="A100" s="1" t="s">
        <v>10</v>
      </c>
      <c r="B100" s="0" t="n">
        <v>9</v>
      </c>
      <c r="C100" s="0" t="n">
        <v>55</v>
      </c>
      <c r="D100" s="0" t="n">
        <v>2012</v>
      </c>
      <c r="E100" s="0" t="n">
        <v>2023</v>
      </c>
      <c r="F100" s="1" t="s">
        <v>19</v>
      </c>
      <c r="G100" s="0" t="n">
        <v>89000000</v>
      </c>
      <c r="H100" s="0" t="n">
        <f aca="false">LN(G100/C100)</f>
        <v>14.2968137424639</v>
      </c>
      <c r="I100" s="0" t="n">
        <f aca="false">B100</f>
        <v>9</v>
      </c>
      <c r="J100" s="0" t="n">
        <f aca="false">E100-D100</f>
        <v>11</v>
      </c>
      <c r="K100" s="0" t="n">
        <f aca="false">C100</f>
        <v>55</v>
      </c>
      <c r="L100" s="0" t="n">
        <f aca="false">IF(F100="改装済み",1,0)</f>
        <v>0</v>
      </c>
      <c r="M100" s="0" t="n">
        <f aca="false">IF(A100="池尻大橋",1,0)</f>
        <v>0</v>
      </c>
      <c r="N100" s="0" t="n">
        <f aca="false">IF(A100="三軒茶屋",1,0)</f>
        <v>1</v>
      </c>
      <c r="O100" s="0" t="n">
        <f aca="false">IF(A100="駒沢大学",1,0)</f>
        <v>0</v>
      </c>
      <c r="P100" s="0" t="n">
        <f aca="false">IF(A100="桜新町",1,0)</f>
        <v>0</v>
      </c>
      <c r="Q100" s="0" t="n">
        <f aca="false">IF(A100="二子玉川",1,0)</f>
        <v>0</v>
      </c>
      <c r="R100" s="0" t="n">
        <f aca="false">IF(E100=2021,1,0)</f>
        <v>0</v>
      </c>
      <c r="S100" s="0" t="n">
        <f aca="false">IF(E100=2022,1,0)</f>
        <v>0</v>
      </c>
      <c r="T100" s="0" t="n">
        <f aca="false">IF(E100=2023,1,0)</f>
        <v>1</v>
      </c>
      <c r="U100" s="0" t="n">
        <f aca="false">IF(E100=2024,1,0)</f>
        <v>0</v>
      </c>
    </row>
    <row r="101" customFormat="false" ht="15" hidden="false" customHeight="false" outlineLevel="0" collapsed="false">
      <c r="A101" s="1" t="s">
        <v>10</v>
      </c>
      <c r="B101" s="0" t="n">
        <v>9</v>
      </c>
      <c r="C101" s="0" t="n">
        <v>55</v>
      </c>
      <c r="D101" s="0" t="n">
        <v>2012</v>
      </c>
      <c r="E101" s="0" t="n">
        <v>2023</v>
      </c>
      <c r="F101" s="1" t="s">
        <v>19</v>
      </c>
      <c r="G101" s="0" t="n">
        <v>78000000</v>
      </c>
      <c r="H101" s="0" t="n">
        <f aca="false">LN(G101/C101)</f>
        <v>14.1648861994214</v>
      </c>
      <c r="I101" s="0" t="n">
        <f aca="false">B101</f>
        <v>9</v>
      </c>
      <c r="J101" s="0" t="n">
        <f aca="false">E101-D101</f>
        <v>11</v>
      </c>
      <c r="K101" s="0" t="n">
        <f aca="false">C101</f>
        <v>55</v>
      </c>
      <c r="L101" s="0" t="n">
        <f aca="false">IF(F101="改装済み",1,0)</f>
        <v>0</v>
      </c>
      <c r="M101" s="0" t="n">
        <f aca="false">IF(A101="池尻大橋",1,0)</f>
        <v>0</v>
      </c>
      <c r="N101" s="0" t="n">
        <f aca="false">IF(A101="三軒茶屋",1,0)</f>
        <v>1</v>
      </c>
      <c r="O101" s="0" t="n">
        <f aca="false">IF(A101="駒沢大学",1,0)</f>
        <v>0</v>
      </c>
      <c r="P101" s="0" t="n">
        <f aca="false">IF(A101="桜新町",1,0)</f>
        <v>0</v>
      </c>
      <c r="Q101" s="0" t="n">
        <f aca="false">IF(A101="二子玉川",1,0)</f>
        <v>0</v>
      </c>
      <c r="R101" s="0" t="n">
        <f aca="false">IF(E101=2021,1,0)</f>
        <v>0</v>
      </c>
      <c r="S101" s="0" t="n">
        <f aca="false">IF(E101=2022,1,0)</f>
        <v>0</v>
      </c>
      <c r="T101" s="0" t="n">
        <f aca="false">IF(E101=2023,1,0)</f>
        <v>1</v>
      </c>
      <c r="U101" s="0" t="n">
        <f aca="false">IF(E101=2024,1,0)</f>
        <v>0</v>
      </c>
    </row>
    <row r="102" customFormat="false" ht="15" hidden="false" customHeight="false" outlineLevel="0" collapsed="false">
      <c r="A102" s="1" t="s">
        <v>10</v>
      </c>
      <c r="B102" s="0" t="n">
        <v>9</v>
      </c>
      <c r="C102" s="0" t="n">
        <v>65</v>
      </c>
      <c r="D102" s="0" t="n">
        <v>2012</v>
      </c>
      <c r="E102" s="0" t="n">
        <v>2022</v>
      </c>
      <c r="F102" s="1" t="s">
        <v>19</v>
      </c>
      <c r="G102" s="0" t="n">
        <v>92000000</v>
      </c>
      <c r="H102" s="0" t="n">
        <f aca="false">LN(G102/C102)</f>
        <v>14.1629118651177</v>
      </c>
      <c r="I102" s="0" t="n">
        <f aca="false">B102</f>
        <v>9</v>
      </c>
      <c r="J102" s="0" t="n">
        <f aca="false">E102-D102</f>
        <v>10</v>
      </c>
      <c r="K102" s="0" t="n">
        <f aca="false">C102</f>
        <v>65</v>
      </c>
      <c r="L102" s="0" t="n">
        <f aca="false">IF(F102="改装済み",1,0)</f>
        <v>0</v>
      </c>
      <c r="M102" s="0" t="n">
        <f aca="false">IF(A102="池尻大橋",1,0)</f>
        <v>0</v>
      </c>
      <c r="N102" s="0" t="n">
        <f aca="false">IF(A102="三軒茶屋",1,0)</f>
        <v>1</v>
      </c>
      <c r="O102" s="0" t="n">
        <f aca="false">IF(A102="駒沢大学",1,0)</f>
        <v>0</v>
      </c>
      <c r="P102" s="0" t="n">
        <f aca="false">IF(A102="桜新町",1,0)</f>
        <v>0</v>
      </c>
      <c r="Q102" s="0" t="n">
        <f aca="false">IF(A102="二子玉川",1,0)</f>
        <v>0</v>
      </c>
      <c r="R102" s="0" t="n">
        <f aca="false">IF(E102=2021,1,0)</f>
        <v>0</v>
      </c>
      <c r="S102" s="0" t="n">
        <f aca="false">IF(E102=2022,1,0)</f>
        <v>1</v>
      </c>
      <c r="T102" s="0" t="n">
        <f aca="false">IF(E102=2023,1,0)</f>
        <v>0</v>
      </c>
      <c r="U102" s="0" t="n">
        <f aca="false">IF(E102=2024,1,0)</f>
        <v>0</v>
      </c>
    </row>
    <row r="103" customFormat="false" ht="15" hidden="false" customHeight="false" outlineLevel="0" collapsed="false">
      <c r="A103" s="1" t="s">
        <v>10</v>
      </c>
      <c r="B103" s="0" t="n">
        <v>9</v>
      </c>
      <c r="C103" s="0" t="n">
        <v>55</v>
      </c>
      <c r="D103" s="0" t="n">
        <v>2012</v>
      </c>
      <c r="E103" s="0" t="n">
        <v>2022</v>
      </c>
      <c r="F103" s="1" t="s">
        <v>19</v>
      </c>
      <c r="G103" s="0" t="n">
        <v>81000000</v>
      </c>
      <c r="H103" s="0" t="n">
        <f aca="false">LN(G103/C103)</f>
        <v>14.2026265274042</v>
      </c>
      <c r="I103" s="0" t="n">
        <f aca="false">B103</f>
        <v>9</v>
      </c>
      <c r="J103" s="0" t="n">
        <f aca="false">E103-D103</f>
        <v>10</v>
      </c>
      <c r="K103" s="0" t="n">
        <f aca="false">C103</f>
        <v>55</v>
      </c>
      <c r="L103" s="0" t="n">
        <f aca="false">IF(F103="改装済み",1,0)</f>
        <v>0</v>
      </c>
      <c r="M103" s="0" t="n">
        <f aca="false">IF(A103="池尻大橋",1,0)</f>
        <v>0</v>
      </c>
      <c r="N103" s="0" t="n">
        <f aca="false">IF(A103="三軒茶屋",1,0)</f>
        <v>1</v>
      </c>
      <c r="O103" s="0" t="n">
        <f aca="false">IF(A103="駒沢大学",1,0)</f>
        <v>0</v>
      </c>
      <c r="P103" s="0" t="n">
        <f aca="false">IF(A103="桜新町",1,0)</f>
        <v>0</v>
      </c>
      <c r="Q103" s="0" t="n">
        <f aca="false">IF(A103="二子玉川",1,0)</f>
        <v>0</v>
      </c>
      <c r="R103" s="0" t="n">
        <f aca="false">IF(E103=2021,1,0)</f>
        <v>0</v>
      </c>
      <c r="S103" s="0" t="n">
        <f aca="false">IF(E103=2022,1,0)</f>
        <v>1</v>
      </c>
      <c r="T103" s="0" t="n">
        <f aca="false">IF(E103=2023,1,0)</f>
        <v>0</v>
      </c>
      <c r="U103" s="0" t="n">
        <f aca="false">IF(E103=2024,1,0)</f>
        <v>0</v>
      </c>
    </row>
    <row r="104" customFormat="false" ht="15" hidden="false" customHeight="false" outlineLevel="0" collapsed="false">
      <c r="A104" s="1" t="s">
        <v>10</v>
      </c>
      <c r="B104" s="0" t="n">
        <v>9</v>
      </c>
      <c r="C104" s="0" t="n">
        <v>65</v>
      </c>
      <c r="D104" s="0" t="n">
        <v>2012</v>
      </c>
      <c r="E104" s="0" t="n">
        <v>2022</v>
      </c>
      <c r="F104" s="1" t="s">
        <v>19</v>
      </c>
      <c r="G104" s="0" t="n">
        <v>90000000</v>
      </c>
      <c r="H104" s="0" t="n">
        <f aca="false">LN(G104/C104)</f>
        <v>14.1409329583989</v>
      </c>
      <c r="I104" s="0" t="n">
        <f aca="false">B104</f>
        <v>9</v>
      </c>
      <c r="J104" s="0" t="n">
        <f aca="false">E104-D104</f>
        <v>10</v>
      </c>
      <c r="K104" s="0" t="n">
        <f aca="false">C104</f>
        <v>65</v>
      </c>
      <c r="L104" s="0" t="n">
        <f aca="false">IF(F104="改装済み",1,0)</f>
        <v>0</v>
      </c>
      <c r="M104" s="0" t="n">
        <f aca="false">IF(A104="池尻大橋",1,0)</f>
        <v>0</v>
      </c>
      <c r="N104" s="0" t="n">
        <f aca="false">IF(A104="三軒茶屋",1,0)</f>
        <v>1</v>
      </c>
      <c r="O104" s="0" t="n">
        <f aca="false">IF(A104="駒沢大学",1,0)</f>
        <v>0</v>
      </c>
      <c r="P104" s="0" t="n">
        <f aca="false">IF(A104="桜新町",1,0)</f>
        <v>0</v>
      </c>
      <c r="Q104" s="0" t="n">
        <f aca="false">IF(A104="二子玉川",1,0)</f>
        <v>0</v>
      </c>
      <c r="R104" s="0" t="n">
        <f aca="false">IF(E104=2021,1,0)</f>
        <v>0</v>
      </c>
      <c r="S104" s="0" t="n">
        <f aca="false">IF(E104=2022,1,0)</f>
        <v>1</v>
      </c>
      <c r="T104" s="0" t="n">
        <f aca="false">IF(E104=2023,1,0)</f>
        <v>0</v>
      </c>
      <c r="U104" s="0" t="n">
        <f aca="false">IF(E104=2024,1,0)</f>
        <v>0</v>
      </c>
    </row>
    <row r="105" customFormat="false" ht="15" hidden="false" customHeight="false" outlineLevel="0" collapsed="false">
      <c r="A105" s="1" t="s">
        <v>10</v>
      </c>
      <c r="B105" s="0" t="n">
        <v>9</v>
      </c>
      <c r="C105" s="0" t="n">
        <v>55</v>
      </c>
      <c r="D105" s="0" t="n">
        <v>2012</v>
      </c>
      <c r="E105" s="0" t="n">
        <v>2021</v>
      </c>
      <c r="F105" s="1" t="s">
        <v>19</v>
      </c>
      <c r="G105" s="0" t="n">
        <v>73000000</v>
      </c>
      <c r="H105" s="0" t="n">
        <f aca="false">LN(G105/C105)</f>
        <v>14.0986368138802</v>
      </c>
      <c r="I105" s="0" t="n">
        <f aca="false">B105</f>
        <v>9</v>
      </c>
      <c r="J105" s="0" t="n">
        <f aca="false">E105-D105</f>
        <v>9</v>
      </c>
      <c r="K105" s="0" t="n">
        <f aca="false">C105</f>
        <v>55</v>
      </c>
      <c r="L105" s="0" t="n">
        <f aca="false">IF(F105="改装済み",1,0)</f>
        <v>0</v>
      </c>
      <c r="M105" s="0" t="n">
        <f aca="false">IF(A105="池尻大橋",1,0)</f>
        <v>0</v>
      </c>
      <c r="N105" s="0" t="n">
        <f aca="false">IF(A105="三軒茶屋",1,0)</f>
        <v>1</v>
      </c>
      <c r="O105" s="0" t="n">
        <f aca="false">IF(A105="駒沢大学",1,0)</f>
        <v>0</v>
      </c>
      <c r="P105" s="0" t="n">
        <f aca="false">IF(A105="桜新町",1,0)</f>
        <v>0</v>
      </c>
      <c r="Q105" s="0" t="n">
        <f aca="false">IF(A105="二子玉川",1,0)</f>
        <v>0</v>
      </c>
      <c r="R105" s="0" t="n">
        <f aca="false">IF(E105=2021,1,0)</f>
        <v>1</v>
      </c>
      <c r="S105" s="0" t="n">
        <f aca="false">IF(E105=2022,1,0)</f>
        <v>0</v>
      </c>
      <c r="T105" s="0" t="n">
        <f aca="false">IF(E105=2023,1,0)</f>
        <v>0</v>
      </c>
      <c r="U105" s="0" t="n">
        <f aca="false">IF(E105=2024,1,0)</f>
        <v>0</v>
      </c>
    </row>
    <row r="106" customFormat="false" ht="15" hidden="false" customHeight="false" outlineLevel="0" collapsed="false">
      <c r="A106" s="1" t="s">
        <v>10</v>
      </c>
      <c r="B106" s="0" t="n">
        <v>9</v>
      </c>
      <c r="C106" s="0" t="n">
        <v>70</v>
      </c>
      <c r="D106" s="0" t="n">
        <v>2012</v>
      </c>
      <c r="E106" s="0" t="n">
        <v>2021</v>
      </c>
      <c r="F106" s="1" t="s">
        <v>19</v>
      </c>
      <c r="G106" s="0" t="n">
        <v>92000000</v>
      </c>
      <c r="H106" s="0" t="n">
        <f aca="false">LN(G106/C106)</f>
        <v>14.088803892964</v>
      </c>
      <c r="I106" s="0" t="n">
        <f aca="false">B106</f>
        <v>9</v>
      </c>
      <c r="J106" s="0" t="n">
        <f aca="false">E106-D106</f>
        <v>9</v>
      </c>
      <c r="K106" s="0" t="n">
        <f aca="false">C106</f>
        <v>70</v>
      </c>
      <c r="L106" s="0" t="n">
        <f aca="false">IF(F106="改装済み",1,0)</f>
        <v>0</v>
      </c>
      <c r="M106" s="0" t="n">
        <f aca="false">IF(A106="池尻大橋",1,0)</f>
        <v>0</v>
      </c>
      <c r="N106" s="0" t="n">
        <f aca="false">IF(A106="三軒茶屋",1,0)</f>
        <v>1</v>
      </c>
      <c r="O106" s="0" t="n">
        <f aca="false">IF(A106="駒沢大学",1,0)</f>
        <v>0</v>
      </c>
      <c r="P106" s="0" t="n">
        <f aca="false">IF(A106="桜新町",1,0)</f>
        <v>0</v>
      </c>
      <c r="Q106" s="0" t="n">
        <f aca="false">IF(A106="二子玉川",1,0)</f>
        <v>0</v>
      </c>
      <c r="R106" s="0" t="n">
        <f aca="false">IF(E106=2021,1,0)</f>
        <v>1</v>
      </c>
      <c r="S106" s="0" t="n">
        <f aca="false">IF(E106=2022,1,0)</f>
        <v>0</v>
      </c>
      <c r="T106" s="0" t="n">
        <f aca="false">IF(E106=2023,1,0)</f>
        <v>0</v>
      </c>
      <c r="U106" s="0" t="n">
        <f aca="false">IF(E106=2024,1,0)</f>
        <v>0</v>
      </c>
    </row>
    <row r="107" customFormat="false" ht="15" hidden="false" customHeight="false" outlineLevel="0" collapsed="false">
      <c r="A107" s="1" t="s">
        <v>20</v>
      </c>
      <c r="B107" s="0" t="n">
        <v>13</v>
      </c>
      <c r="C107" s="0" t="n">
        <v>60</v>
      </c>
      <c r="D107" s="0" t="n">
        <v>1985</v>
      </c>
      <c r="E107" s="0" t="n">
        <v>2022</v>
      </c>
      <c r="F107" s="1" t="s">
        <v>19</v>
      </c>
      <c r="G107" s="0" t="n">
        <v>56000000</v>
      </c>
      <c r="H107" s="0" t="n">
        <f aca="false">LN(G107/C107)</f>
        <v>13.7465176864773</v>
      </c>
      <c r="I107" s="0" t="n">
        <f aca="false">B107</f>
        <v>13</v>
      </c>
      <c r="J107" s="0" t="n">
        <f aca="false">E107-D107</f>
        <v>37</v>
      </c>
      <c r="K107" s="0" t="n">
        <f aca="false">C107</f>
        <v>60</v>
      </c>
      <c r="L107" s="0" t="n">
        <f aca="false">IF(F107="改装済み",1,0)</f>
        <v>0</v>
      </c>
      <c r="M107" s="0" t="n">
        <f aca="false">IF(A107="池尻大橋",1,0)</f>
        <v>0</v>
      </c>
      <c r="N107" s="0" t="n">
        <f aca="false">IF(A107="三軒茶屋",1,0)</f>
        <v>0</v>
      </c>
      <c r="O107" s="0" t="n">
        <f aca="false">IF(A107="駒沢大学",1,0)</f>
        <v>0</v>
      </c>
      <c r="P107" s="0" t="n">
        <f aca="false">IF(A107="桜新町",1,0)</f>
        <v>0</v>
      </c>
      <c r="Q107" s="0" t="n">
        <f aca="false">IF(A107="二子玉川",1,0)</f>
        <v>0</v>
      </c>
      <c r="R107" s="0" t="n">
        <f aca="false">IF(E107=2021,1,0)</f>
        <v>0</v>
      </c>
      <c r="S107" s="0" t="n">
        <f aca="false">IF(E107=2022,1,0)</f>
        <v>1</v>
      </c>
      <c r="T107" s="0" t="n">
        <f aca="false">IF(E107=2023,1,0)</f>
        <v>0</v>
      </c>
      <c r="U107" s="0" t="n">
        <f aca="false">IF(E107=2024,1,0)</f>
        <v>0</v>
      </c>
    </row>
    <row r="108" customFormat="false" ht="15" hidden="false" customHeight="false" outlineLevel="0" collapsed="false">
      <c r="A108" s="1" t="s">
        <v>12</v>
      </c>
      <c r="B108" s="0" t="n">
        <v>20</v>
      </c>
      <c r="C108" s="0" t="n">
        <v>65</v>
      </c>
      <c r="D108" s="0" t="n">
        <v>1978</v>
      </c>
      <c r="E108" s="0" t="n">
        <v>2025</v>
      </c>
      <c r="F108" s="1" t="s">
        <v>19</v>
      </c>
      <c r="G108" s="0" t="n">
        <v>38000000</v>
      </c>
      <c r="H108" s="0" t="n">
        <f aca="false">LN(G108/C108)</f>
        <v>13.278709447795</v>
      </c>
      <c r="I108" s="0" t="n">
        <f aca="false">B108</f>
        <v>20</v>
      </c>
      <c r="J108" s="0" t="n">
        <f aca="false">E108-D108</f>
        <v>47</v>
      </c>
      <c r="K108" s="0" t="n">
        <f aca="false">C108</f>
        <v>65</v>
      </c>
      <c r="L108" s="0" t="n">
        <f aca="false">IF(F108="改装済み",1,0)</f>
        <v>0</v>
      </c>
      <c r="M108" s="0" t="n">
        <f aca="false">IF(A108="池尻大橋",1,0)</f>
        <v>0</v>
      </c>
      <c r="N108" s="0" t="n">
        <f aca="false">IF(A108="三軒茶屋",1,0)</f>
        <v>0</v>
      </c>
      <c r="O108" s="0" t="n">
        <f aca="false">IF(A108="駒沢大学",1,0)</f>
        <v>0</v>
      </c>
      <c r="P108" s="0" t="n">
        <f aca="false">IF(A108="桜新町",1,0)</f>
        <v>1</v>
      </c>
      <c r="Q108" s="0" t="n">
        <f aca="false">IF(A108="二子玉川",1,0)</f>
        <v>0</v>
      </c>
      <c r="R108" s="0" t="n">
        <f aca="false">IF(E108=2021,1,0)</f>
        <v>0</v>
      </c>
      <c r="S108" s="0" t="n">
        <f aca="false">IF(E108=2022,1,0)</f>
        <v>0</v>
      </c>
      <c r="T108" s="0" t="n">
        <f aca="false">IF(E108=2023,1,0)</f>
        <v>0</v>
      </c>
      <c r="U108" s="0" t="n">
        <f aca="false">IF(E108=2024,1,0)</f>
        <v>0</v>
      </c>
    </row>
    <row r="109" customFormat="false" ht="15" hidden="false" customHeight="false" outlineLevel="0" collapsed="false">
      <c r="A109" s="1" t="s">
        <v>12</v>
      </c>
      <c r="B109" s="0" t="n">
        <v>20</v>
      </c>
      <c r="C109" s="0" t="n">
        <v>60</v>
      </c>
      <c r="D109" s="0" t="n">
        <v>1978</v>
      </c>
      <c r="E109" s="0" t="n">
        <v>2025</v>
      </c>
      <c r="F109" s="1" t="s">
        <v>19</v>
      </c>
      <c r="G109" s="0" t="n">
        <v>46000000</v>
      </c>
      <c r="H109" s="0" t="n">
        <f aca="false">LN(G109/C109)</f>
        <v>13.5498073922313</v>
      </c>
      <c r="I109" s="0" t="n">
        <f aca="false">B109</f>
        <v>20</v>
      </c>
      <c r="J109" s="0" t="n">
        <f aca="false">E109-D109</f>
        <v>47</v>
      </c>
      <c r="K109" s="0" t="n">
        <f aca="false">C109</f>
        <v>60</v>
      </c>
      <c r="L109" s="0" t="n">
        <f aca="false">IF(F109="改装済み",1,0)</f>
        <v>0</v>
      </c>
      <c r="M109" s="0" t="n">
        <f aca="false">IF(A109="池尻大橋",1,0)</f>
        <v>0</v>
      </c>
      <c r="N109" s="0" t="n">
        <f aca="false">IF(A109="三軒茶屋",1,0)</f>
        <v>0</v>
      </c>
      <c r="O109" s="0" t="n">
        <f aca="false">IF(A109="駒沢大学",1,0)</f>
        <v>0</v>
      </c>
      <c r="P109" s="0" t="n">
        <f aca="false">IF(A109="桜新町",1,0)</f>
        <v>1</v>
      </c>
      <c r="Q109" s="0" t="n">
        <f aca="false">IF(A109="二子玉川",1,0)</f>
        <v>0</v>
      </c>
      <c r="R109" s="0" t="n">
        <f aca="false">IF(E109=2021,1,0)</f>
        <v>0</v>
      </c>
      <c r="S109" s="0" t="n">
        <f aca="false">IF(E109=2022,1,0)</f>
        <v>0</v>
      </c>
      <c r="T109" s="0" t="n">
        <f aca="false">IF(E109=2023,1,0)</f>
        <v>0</v>
      </c>
      <c r="U109" s="0" t="n">
        <f aca="false">IF(E109=2024,1,0)</f>
        <v>0</v>
      </c>
    </row>
    <row r="110" customFormat="false" ht="15" hidden="false" customHeight="false" outlineLevel="0" collapsed="false">
      <c r="A110" s="1" t="s">
        <v>12</v>
      </c>
      <c r="B110" s="0" t="n">
        <v>10</v>
      </c>
      <c r="C110" s="0" t="n">
        <v>50</v>
      </c>
      <c r="D110" s="0" t="n">
        <v>1968</v>
      </c>
      <c r="E110" s="0" t="n">
        <v>2025</v>
      </c>
      <c r="F110" s="1" t="s">
        <v>18</v>
      </c>
      <c r="G110" s="0" t="n">
        <v>49000000</v>
      </c>
      <c r="H110" s="0" t="n">
        <f aca="false">LN(G110/C110)</f>
        <v>13.7953078506468</v>
      </c>
      <c r="I110" s="0" t="n">
        <f aca="false">B110</f>
        <v>10</v>
      </c>
      <c r="J110" s="0" t="n">
        <f aca="false">E110-D110</f>
        <v>57</v>
      </c>
      <c r="K110" s="0" t="n">
        <f aca="false">C110</f>
        <v>50</v>
      </c>
      <c r="L110" s="0" t="n">
        <f aca="false">IF(F110="改装済み",1,0)</f>
        <v>1</v>
      </c>
      <c r="M110" s="0" t="n">
        <f aca="false">IF(A110="池尻大橋",1,0)</f>
        <v>0</v>
      </c>
      <c r="N110" s="0" t="n">
        <f aca="false">IF(A110="三軒茶屋",1,0)</f>
        <v>0</v>
      </c>
      <c r="O110" s="0" t="n">
        <f aca="false">IF(A110="駒沢大学",1,0)</f>
        <v>0</v>
      </c>
      <c r="P110" s="0" t="n">
        <f aca="false">IF(A110="桜新町",1,0)</f>
        <v>1</v>
      </c>
      <c r="Q110" s="0" t="n">
        <f aca="false">IF(A110="二子玉川",1,0)</f>
        <v>0</v>
      </c>
      <c r="R110" s="0" t="n">
        <f aca="false">IF(E110=2021,1,0)</f>
        <v>0</v>
      </c>
      <c r="S110" s="0" t="n">
        <f aca="false">IF(E110=2022,1,0)</f>
        <v>0</v>
      </c>
      <c r="T110" s="0" t="n">
        <f aca="false">IF(E110=2023,1,0)</f>
        <v>0</v>
      </c>
      <c r="U110" s="0" t="n">
        <f aca="false">IF(E110=2024,1,0)</f>
        <v>0</v>
      </c>
    </row>
    <row r="111" customFormat="false" ht="15" hidden="false" customHeight="false" outlineLevel="0" collapsed="false">
      <c r="A111" s="1" t="s">
        <v>12</v>
      </c>
      <c r="B111" s="0" t="n">
        <v>9</v>
      </c>
      <c r="C111" s="0" t="n">
        <v>60</v>
      </c>
      <c r="D111" s="0" t="n">
        <v>1968</v>
      </c>
      <c r="E111" s="0" t="n">
        <v>2024</v>
      </c>
      <c r="F111" s="1" t="s">
        <v>19</v>
      </c>
      <c r="G111" s="0" t="n">
        <v>35000000</v>
      </c>
      <c r="H111" s="0" t="n">
        <f aca="false">LN(G111/C111)</f>
        <v>13.2765140572316</v>
      </c>
      <c r="I111" s="0" t="n">
        <f aca="false">B111</f>
        <v>9</v>
      </c>
      <c r="J111" s="0" t="n">
        <f aca="false">E111-D111</f>
        <v>56</v>
      </c>
      <c r="K111" s="0" t="n">
        <f aca="false">C111</f>
        <v>60</v>
      </c>
      <c r="L111" s="0" t="n">
        <f aca="false">IF(F111="改装済み",1,0)</f>
        <v>0</v>
      </c>
      <c r="M111" s="0" t="n">
        <f aca="false">IF(A111="池尻大橋",1,0)</f>
        <v>0</v>
      </c>
      <c r="N111" s="0" t="n">
        <f aca="false">IF(A111="三軒茶屋",1,0)</f>
        <v>0</v>
      </c>
      <c r="O111" s="0" t="n">
        <f aca="false">IF(A111="駒沢大学",1,0)</f>
        <v>0</v>
      </c>
      <c r="P111" s="0" t="n">
        <f aca="false">IF(A111="桜新町",1,0)</f>
        <v>1</v>
      </c>
      <c r="Q111" s="0" t="n">
        <f aca="false">IF(A111="二子玉川",1,0)</f>
        <v>0</v>
      </c>
      <c r="R111" s="0" t="n">
        <f aca="false">IF(E111=2021,1,0)</f>
        <v>0</v>
      </c>
      <c r="S111" s="0" t="n">
        <f aca="false">IF(E111=2022,1,0)</f>
        <v>0</v>
      </c>
      <c r="T111" s="0" t="n">
        <f aca="false">IF(E111=2023,1,0)</f>
        <v>0</v>
      </c>
      <c r="U111" s="0" t="n">
        <f aca="false">IF(E111=2024,1,0)</f>
        <v>1</v>
      </c>
    </row>
    <row r="112" customFormat="false" ht="15" hidden="false" customHeight="false" outlineLevel="0" collapsed="false">
      <c r="A112" s="1" t="s">
        <v>12</v>
      </c>
      <c r="B112" s="0" t="n">
        <v>10</v>
      </c>
      <c r="C112" s="0" t="n">
        <v>50</v>
      </c>
      <c r="D112" s="0" t="n">
        <v>1968</v>
      </c>
      <c r="E112" s="0" t="n">
        <v>2024</v>
      </c>
      <c r="F112" s="1" t="s">
        <v>19</v>
      </c>
      <c r="G112" s="0" t="n">
        <v>31000000</v>
      </c>
      <c r="H112" s="0" t="n">
        <f aca="false">LN(G112/C112)</f>
        <v>13.3374747570213</v>
      </c>
      <c r="I112" s="0" t="n">
        <f aca="false">B112</f>
        <v>10</v>
      </c>
      <c r="J112" s="0" t="n">
        <f aca="false">E112-D112</f>
        <v>56</v>
      </c>
      <c r="K112" s="0" t="n">
        <f aca="false">C112</f>
        <v>50</v>
      </c>
      <c r="L112" s="0" t="n">
        <f aca="false">IF(F112="改装済み",1,0)</f>
        <v>0</v>
      </c>
      <c r="M112" s="0" t="n">
        <f aca="false">IF(A112="池尻大橋",1,0)</f>
        <v>0</v>
      </c>
      <c r="N112" s="0" t="n">
        <f aca="false">IF(A112="三軒茶屋",1,0)</f>
        <v>0</v>
      </c>
      <c r="O112" s="0" t="n">
        <f aca="false">IF(A112="駒沢大学",1,0)</f>
        <v>0</v>
      </c>
      <c r="P112" s="0" t="n">
        <f aca="false">IF(A112="桜新町",1,0)</f>
        <v>1</v>
      </c>
      <c r="Q112" s="0" t="n">
        <f aca="false">IF(A112="二子玉川",1,0)</f>
        <v>0</v>
      </c>
      <c r="R112" s="0" t="n">
        <f aca="false">IF(E112=2021,1,0)</f>
        <v>0</v>
      </c>
      <c r="S112" s="0" t="n">
        <f aca="false">IF(E112=2022,1,0)</f>
        <v>0</v>
      </c>
      <c r="T112" s="0" t="n">
        <f aca="false">IF(E112=2023,1,0)</f>
        <v>0</v>
      </c>
      <c r="U112" s="0" t="n">
        <f aca="false">IF(E112=2024,1,0)</f>
        <v>1</v>
      </c>
    </row>
    <row r="113" customFormat="false" ht="15" hidden="false" customHeight="false" outlineLevel="0" collapsed="false">
      <c r="A113" s="1" t="s">
        <v>12</v>
      </c>
      <c r="B113" s="0" t="n">
        <v>9</v>
      </c>
      <c r="C113" s="0" t="n">
        <v>65</v>
      </c>
      <c r="D113" s="0" t="n">
        <v>1968</v>
      </c>
      <c r="E113" s="0" t="n">
        <v>2022</v>
      </c>
      <c r="F113" s="1" t="s">
        <v>19</v>
      </c>
      <c r="G113" s="0" t="n">
        <v>28000000</v>
      </c>
      <c r="H113" s="0" t="n">
        <f aca="false">LN(G113/C113)</f>
        <v>12.9733277982438</v>
      </c>
      <c r="I113" s="0" t="n">
        <f aca="false">B113</f>
        <v>9</v>
      </c>
      <c r="J113" s="0" t="n">
        <f aca="false">E113-D113</f>
        <v>54</v>
      </c>
      <c r="K113" s="0" t="n">
        <f aca="false">C113</f>
        <v>65</v>
      </c>
      <c r="L113" s="0" t="n">
        <f aca="false">IF(F113="改装済み",1,0)</f>
        <v>0</v>
      </c>
      <c r="M113" s="0" t="n">
        <f aca="false">IF(A113="池尻大橋",1,0)</f>
        <v>0</v>
      </c>
      <c r="N113" s="0" t="n">
        <f aca="false">IF(A113="三軒茶屋",1,0)</f>
        <v>0</v>
      </c>
      <c r="O113" s="0" t="n">
        <f aca="false">IF(A113="駒沢大学",1,0)</f>
        <v>0</v>
      </c>
      <c r="P113" s="0" t="n">
        <f aca="false">IF(A113="桜新町",1,0)</f>
        <v>1</v>
      </c>
      <c r="Q113" s="0" t="n">
        <f aca="false">IF(A113="二子玉川",1,0)</f>
        <v>0</v>
      </c>
      <c r="R113" s="0" t="n">
        <f aca="false">IF(E113=2021,1,0)</f>
        <v>0</v>
      </c>
      <c r="S113" s="0" t="n">
        <f aca="false">IF(E113=2022,1,0)</f>
        <v>1</v>
      </c>
      <c r="T113" s="0" t="n">
        <f aca="false">IF(E113=2023,1,0)</f>
        <v>0</v>
      </c>
      <c r="U113" s="0" t="n">
        <f aca="false">IF(E113=2024,1,0)</f>
        <v>0</v>
      </c>
    </row>
    <row r="114" customFormat="false" ht="15" hidden="false" customHeight="false" outlineLevel="0" collapsed="false">
      <c r="A114" s="1" t="s">
        <v>20</v>
      </c>
      <c r="B114" s="0" t="n">
        <v>8</v>
      </c>
      <c r="C114" s="0" t="n">
        <v>55</v>
      </c>
      <c r="D114" s="0" t="n">
        <v>2005</v>
      </c>
      <c r="E114" s="0" t="n">
        <v>2025</v>
      </c>
      <c r="F114" s="1" t="s">
        <v>19</v>
      </c>
      <c r="G114" s="0" t="n">
        <v>80000000</v>
      </c>
      <c r="H114" s="0" t="n">
        <f aca="false">LN(G114/C114)</f>
        <v>14.1902040074057</v>
      </c>
      <c r="I114" s="0" t="n">
        <f aca="false">B114</f>
        <v>8</v>
      </c>
      <c r="J114" s="0" t="n">
        <f aca="false">E114-D114</f>
        <v>20</v>
      </c>
      <c r="K114" s="0" t="n">
        <f aca="false">C114</f>
        <v>55</v>
      </c>
      <c r="L114" s="0" t="n">
        <f aca="false">IF(F114="改装済み",1,0)</f>
        <v>0</v>
      </c>
      <c r="M114" s="0" t="n">
        <f aca="false">IF(A114="池尻大橋",1,0)</f>
        <v>0</v>
      </c>
      <c r="N114" s="0" t="n">
        <f aca="false">IF(A114="三軒茶屋",1,0)</f>
        <v>0</v>
      </c>
      <c r="O114" s="0" t="n">
        <f aca="false">IF(A114="駒沢大学",1,0)</f>
        <v>0</v>
      </c>
      <c r="P114" s="0" t="n">
        <f aca="false">IF(A114="桜新町",1,0)</f>
        <v>0</v>
      </c>
      <c r="Q114" s="0" t="n">
        <f aca="false">IF(A114="二子玉川",1,0)</f>
        <v>0</v>
      </c>
      <c r="R114" s="0" t="n">
        <f aca="false">IF(E114=2021,1,0)</f>
        <v>0</v>
      </c>
      <c r="S114" s="0" t="n">
        <f aca="false">IF(E114=2022,1,0)</f>
        <v>0</v>
      </c>
      <c r="T114" s="0" t="n">
        <f aca="false">IF(E114=2023,1,0)</f>
        <v>0</v>
      </c>
      <c r="U114" s="0" t="n">
        <f aca="false">IF(E114=2024,1,0)</f>
        <v>0</v>
      </c>
    </row>
    <row r="115" customFormat="false" ht="15" hidden="false" customHeight="false" outlineLevel="0" collapsed="false">
      <c r="A115" s="1" t="s">
        <v>20</v>
      </c>
      <c r="B115" s="0" t="n">
        <v>11</v>
      </c>
      <c r="C115" s="0" t="n">
        <v>50</v>
      </c>
      <c r="D115" s="0" t="n">
        <v>2009</v>
      </c>
      <c r="E115" s="0" t="n">
        <v>2025</v>
      </c>
      <c r="F115" s="1" t="s">
        <v>19</v>
      </c>
      <c r="G115" s="0" t="n">
        <v>55000000</v>
      </c>
      <c r="H115" s="0" t="n">
        <f aca="false">LN(G115/C115)</f>
        <v>13.9108207377686</v>
      </c>
      <c r="I115" s="0" t="n">
        <f aca="false">B115</f>
        <v>11</v>
      </c>
      <c r="J115" s="0" t="n">
        <f aca="false">E115-D115</f>
        <v>16</v>
      </c>
      <c r="K115" s="0" t="n">
        <f aca="false">C115</f>
        <v>50</v>
      </c>
      <c r="L115" s="0" t="n">
        <f aca="false">IF(F115="改装済み",1,0)</f>
        <v>0</v>
      </c>
      <c r="M115" s="0" t="n">
        <f aca="false">IF(A115="池尻大橋",1,0)</f>
        <v>0</v>
      </c>
      <c r="N115" s="0" t="n">
        <f aca="false">IF(A115="三軒茶屋",1,0)</f>
        <v>0</v>
      </c>
      <c r="O115" s="0" t="n">
        <f aca="false">IF(A115="駒沢大学",1,0)</f>
        <v>0</v>
      </c>
      <c r="P115" s="0" t="n">
        <f aca="false">IF(A115="桜新町",1,0)</f>
        <v>0</v>
      </c>
      <c r="Q115" s="0" t="n">
        <f aca="false">IF(A115="二子玉川",1,0)</f>
        <v>0</v>
      </c>
      <c r="R115" s="0" t="n">
        <f aca="false">IF(E115=2021,1,0)</f>
        <v>0</v>
      </c>
      <c r="S115" s="0" t="n">
        <f aca="false">IF(E115=2022,1,0)</f>
        <v>0</v>
      </c>
      <c r="T115" s="0" t="n">
        <f aca="false">IF(E115=2023,1,0)</f>
        <v>0</v>
      </c>
      <c r="U115" s="0" t="n">
        <f aca="false">IF(E115=2024,1,0)</f>
        <v>0</v>
      </c>
    </row>
    <row r="116" customFormat="false" ht="15" hidden="false" customHeight="false" outlineLevel="0" collapsed="false">
      <c r="A116" s="1" t="s">
        <v>20</v>
      </c>
      <c r="B116" s="0" t="n">
        <v>11</v>
      </c>
      <c r="C116" s="0" t="n">
        <v>75</v>
      </c>
      <c r="D116" s="0" t="n">
        <v>2000</v>
      </c>
      <c r="E116" s="0" t="n">
        <v>2025</v>
      </c>
      <c r="F116" s="1" t="s">
        <v>19</v>
      </c>
      <c r="G116" s="0" t="n">
        <v>110000000</v>
      </c>
      <c r="H116" s="0" t="n">
        <f aca="false">LN(G116/C116)</f>
        <v>14.1985028102204</v>
      </c>
      <c r="I116" s="0" t="n">
        <f aca="false">B116</f>
        <v>11</v>
      </c>
      <c r="J116" s="0" t="n">
        <f aca="false">E116-D116</f>
        <v>25</v>
      </c>
      <c r="K116" s="0" t="n">
        <f aca="false">C116</f>
        <v>75</v>
      </c>
      <c r="L116" s="0" t="n">
        <f aca="false">IF(F116="改装済み",1,0)</f>
        <v>0</v>
      </c>
      <c r="M116" s="0" t="n">
        <f aca="false">IF(A116="池尻大橋",1,0)</f>
        <v>0</v>
      </c>
      <c r="N116" s="0" t="n">
        <f aca="false">IF(A116="三軒茶屋",1,0)</f>
        <v>0</v>
      </c>
      <c r="O116" s="0" t="n">
        <f aca="false">IF(A116="駒沢大学",1,0)</f>
        <v>0</v>
      </c>
      <c r="P116" s="0" t="n">
        <f aca="false">IF(A116="桜新町",1,0)</f>
        <v>0</v>
      </c>
      <c r="Q116" s="0" t="n">
        <f aca="false">IF(A116="二子玉川",1,0)</f>
        <v>0</v>
      </c>
      <c r="R116" s="0" t="n">
        <f aca="false">IF(E116=2021,1,0)</f>
        <v>0</v>
      </c>
      <c r="S116" s="0" t="n">
        <f aca="false">IF(E116=2022,1,0)</f>
        <v>0</v>
      </c>
      <c r="T116" s="0" t="n">
        <f aca="false">IF(E116=2023,1,0)</f>
        <v>0</v>
      </c>
      <c r="U116" s="0" t="n">
        <f aca="false">IF(E116=2024,1,0)</f>
        <v>0</v>
      </c>
    </row>
    <row r="117" customFormat="false" ht="15" hidden="false" customHeight="false" outlineLevel="0" collapsed="false">
      <c r="A117" s="1" t="s">
        <v>20</v>
      </c>
      <c r="B117" s="0" t="n">
        <v>19</v>
      </c>
      <c r="C117" s="0" t="n">
        <v>70</v>
      </c>
      <c r="D117" s="0" t="n">
        <v>1997</v>
      </c>
      <c r="E117" s="0" t="n">
        <v>2025</v>
      </c>
      <c r="F117" s="1" t="s">
        <v>18</v>
      </c>
      <c r="G117" s="0" t="n">
        <v>85000000</v>
      </c>
      <c r="H117" s="0" t="n">
        <f aca="false">LN(G117/C117)</f>
        <v>14.0096665724052</v>
      </c>
      <c r="I117" s="0" t="n">
        <f aca="false">B117</f>
        <v>19</v>
      </c>
      <c r="J117" s="0" t="n">
        <f aca="false">E117-D117</f>
        <v>28</v>
      </c>
      <c r="K117" s="0" t="n">
        <f aca="false">C117</f>
        <v>70</v>
      </c>
      <c r="L117" s="0" t="n">
        <f aca="false">IF(F117="改装済み",1,0)</f>
        <v>1</v>
      </c>
      <c r="M117" s="0" t="n">
        <f aca="false">IF(A117="池尻大橋",1,0)</f>
        <v>0</v>
      </c>
      <c r="N117" s="0" t="n">
        <f aca="false">IF(A117="三軒茶屋",1,0)</f>
        <v>0</v>
      </c>
      <c r="O117" s="0" t="n">
        <f aca="false">IF(A117="駒沢大学",1,0)</f>
        <v>0</v>
      </c>
      <c r="P117" s="0" t="n">
        <f aca="false">IF(A117="桜新町",1,0)</f>
        <v>0</v>
      </c>
      <c r="Q117" s="0" t="n">
        <f aca="false">IF(A117="二子玉川",1,0)</f>
        <v>0</v>
      </c>
      <c r="R117" s="0" t="n">
        <f aca="false">IF(E117=2021,1,0)</f>
        <v>0</v>
      </c>
      <c r="S117" s="0" t="n">
        <f aca="false">IF(E117=2022,1,0)</f>
        <v>0</v>
      </c>
      <c r="T117" s="0" t="n">
        <f aca="false">IF(E117=2023,1,0)</f>
        <v>0</v>
      </c>
      <c r="U117" s="0" t="n">
        <f aca="false">IF(E117=2024,1,0)</f>
        <v>0</v>
      </c>
    </row>
    <row r="118" customFormat="false" ht="15" hidden="false" customHeight="false" outlineLevel="0" collapsed="false">
      <c r="A118" s="1" t="s">
        <v>20</v>
      </c>
      <c r="B118" s="0" t="n">
        <v>14</v>
      </c>
      <c r="C118" s="0" t="n">
        <v>90</v>
      </c>
      <c r="D118" s="0" t="n">
        <v>1987</v>
      </c>
      <c r="E118" s="0" t="n">
        <v>2024</v>
      </c>
      <c r="F118" s="1" t="s">
        <v>19</v>
      </c>
      <c r="G118" s="0" t="n">
        <v>76000000</v>
      </c>
      <c r="H118" s="0" t="n">
        <f aca="false">LN(G118/C118)</f>
        <v>13.6464342279203</v>
      </c>
      <c r="I118" s="0" t="n">
        <f aca="false">B118</f>
        <v>14</v>
      </c>
      <c r="J118" s="0" t="n">
        <f aca="false">E118-D118</f>
        <v>37</v>
      </c>
      <c r="K118" s="0" t="n">
        <f aca="false">C118</f>
        <v>90</v>
      </c>
      <c r="L118" s="0" t="n">
        <f aca="false">IF(F118="改装済み",1,0)</f>
        <v>0</v>
      </c>
      <c r="M118" s="0" t="n">
        <f aca="false">IF(A118="池尻大橋",1,0)</f>
        <v>0</v>
      </c>
      <c r="N118" s="0" t="n">
        <f aca="false">IF(A118="三軒茶屋",1,0)</f>
        <v>0</v>
      </c>
      <c r="O118" s="0" t="n">
        <f aca="false">IF(A118="駒沢大学",1,0)</f>
        <v>0</v>
      </c>
      <c r="P118" s="0" t="n">
        <f aca="false">IF(A118="桜新町",1,0)</f>
        <v>0</v>
      </c>
      <c r="Q118" s="0" t="n">
        <f aca="false">IF(A118="二子玉川",1,0)</f>
        <v>0</v>
      </c>
      <c r="R118" s="0" t="n">
        <f aca="false">IF(E118=2021,1,0)</f>
        <v>0</v>
      </c>
      <c r="S118" s="0" t="n">
        <f aca="false">IF(E118=2022,1,0)</f>
        <v>0</v>
      </c>
      <c r="T118" s="0" t="n">
        <f aca="false">IF(E118=2023,1,0)</f>
        <v>0</v>
      </c>
      <c r="U118" s="0" t="n">
        <f aca="false">IF(E118=2024,1,0)</f>
        <v>1</v>
      </c>
    </row>
    <row r="119" customFormat="false" ht="15" hidden="false" customHeight="false" outlineLevel="0" collapsed="false">
      <c r="A119" s="1" t="s">
        <v>20</v>
      </c>
      <c r="B119" s="0" t="n">
        <v>11</v>
      </c>
      <c r="C119" s="0" t="n">
        <v>60</v>
      </c>
      <c r="D119" s="0" t="n">
        <v>1998</v>
      </c>
      <c r="E119" s="0" t="n">
        <v>2024</v>
      </c>
      <c r="F119" s="1" t="s">
        <v>19</v>
      </c>
      <c r="G119" s="0" t="n">
        <v>58000000</v>
      </c>
      <c r="H119" s="0" t="n">
        <f aca="false">LN(G119/C119)</f>
        <v>13.7816090062886</v>
      </c>
      <c r="I119" s="0" t="n">
        <f aca="false">B119</f>
        <v>11</v>
      </c>
      <c r="J119" s="0" t="n">
        <f aca="false">E119-D119</f>
        <v>26</v>
      </c>
      <c r="K119" s="0" t="n">
        <f aca="false">C119</f>
        <v>60</v>
      </c>
      <c r="L119" s="0" t="n">
        <f aca="false">IF(F119="改装済み",1,0)</f>
        <v>0</v>
      </c>
      <c r="M119" s="0" t="n">
        <f aca="false">IF(A119="池尻大橋",1,0)</f>
        <v>0</v>
      </c>
      <c r="N119" s="0" t="n">
        <f aca="false">IF(A119="三軒茶屋",1,0)</f>
        <v>0</v>
      </c>
      <c r="O119" s="0" t="n">
        <f aca="false">IF(A119="駒沢大学",1,0)</f>
        <v>0</v>
      </c>
      <c r="P119" s="0" t="n">
        <f aca="false">IF(A119="桜新町",1,0)</f>
        <v>0</v>
      </c>
      <c r="Q119" s="0" t="n">
        <f aca="false">IF(A119="二子玉川",1,0)</f>
        <v>0</v>
      </c>
      <c r="R119" s="0" t="n">
        <f aca="false">IF(E119=2021,1,0)</f>
        <v>0</v>
      </c>
      <c r="S119" s="0" t="n">
        <f aca="false">IF(E119=2022,1,0)</f>
        <v>0</v>
      </c>
      <c r="T119" s="0" t="n">
        <f aca="false">IF(E119=2023,1,0)</f>
        <v>0</v>
      </c>
      <c r="U119" s="0" t="n">
        <f aca="false">IF(E119=2024,1,0)</f>
        <v>1</v>
      </c>
    </row>
    <row r="120" customFormat="false" ht="15" hidden="false" customHeight="false" outlineLevel="0" collapsed="false">
      <c r="A120" s="1" t="s">
        <v>20</v>
      </c>
      <c r="B120" s="0" t="n">
        <v>11</v>
      </c>
      <c r="C120" s="0" t="n">
        <v>75</v>
      </c>
      <c r="D120" s="0" t="n">
        <v>1995</v>
      </c>
      <c r="E120" s="0" t="n">
        <v>2024</v>
      </c>
      <c r="F120" s="1" t="s">
        <v>18</v>
      </c>
      <c r="G120" s="0" t="n">
        <v>93000000</v>
      </c>
      <c r="H120" s="0" t="n">
        <f aca="false">LN(G120/C120)</f>
        <v>14.0306219375812</v>
      </c>
      <c r="I120" s="0" t="n">
        <f aca="false">B120</f>
        <v>11</v>
      </c>
      <c r="J120" s="0" t="n">
        <f aca="false">E120-D120</f>
        <v>29</v>
      </c>
      <c r="K120" s="0" t="n">
        <f aca="false">C120</f>
        <v>75</v>
      </c>
      <c r="L120" s="0" t="n">
        <f aca="false">IF(F120="改装済み",1,0)</f>
        <v>1</v>
      </c>
      <c r="M120" s="0" t="n">
        <f aca="false">IF(A120="池尻大橋",1,0)</f>
        <v>0</v>
      </c>
      <c r="N120" s="0" t="n">
        <f aca="false">IF(A120="三軒茶屋",1,0)</f>
        <v>0</v>
      </c>
      <c r="O120" s="0" t="n">
        <f aca="false">IF(A120="駒沢大学",1,0)</f>
        <v>0</v>
      </c>
      <c r="P120" s="0" t="n">
        <f aca="false">IF(A120="桜新町",1,0)</f>
        <v>0</v>
      </c>
      <c r="Q120" s="0" t="n">
        <f aca="false">IF(A120="二子玉川",1,0)</f>
        <v>0</v>
      </c>
      <c r="R120" s="0" t="n">
        <f aca="false">IF(E120=2021,1,0)</f>
        <v>0</v>
      </c>
      <c r="S120" s="0" t="n">
        <f aca="false">IF(E120=2022,1,0)</f>
        <v>0</v>
      </c>
      <c r="T120" s="0" t="n">
        <f aca="false">IF(E120=2023,1,0)</f>
        <v>0</v>
      </c>
      <c r="U120" s="0" t="n">
        <f aca="false">IF(E120=2024,1,0)</f>
        <v>1</v>
      </c>
    </row>
    <row r="121" customFormat="false" ht="15" hidden="false" customHeight="false" outlineLevel="0" collapsed="false">
      <c r="A121" s="1" t="s">
        <v>20</v>
      </c>
      <c r="B121" s="0" t="n">
        <v>20</v>
      </c>
      <c r="C121" s="0" t="n">
        <v>65</v>
      </c>
      <c r="D121" s="0" t="n">
        <v>1981</v>
      </c>
      <c r="E121" s="0" t="n">
        <v>2023</v>
      </c>
      <c r="F121" s="1" t="s">
        <v>18</v>
      </c>
      <c r="G121" s="0" t="n">
        <v>40000000</v>
      </c>
      <c r="H121" s="0" t="n">
        <f aca="false">LN(G121/C121)</f>
        <v>13.3300027421826</v>
      </c>
      <c r="I121" s="0" t="n">
        <f aca="false">B121</f>
        <v>20</v>
      </c>
      <c r="J121" s="0" t="n">
        <f aca="false">E121-D121</f>
        <v>42</v>
      </c>
      <c r="K121" s="0" t="n">
        <f aca="false">C121</f>
        <v>65</v>
      </c>
      <c r="L121" s="0" t="n">
        <f aca="false">IF(F121="改装済み",1,0)</f>
        <v>1</v>
      </c>
      <c r="M121" s="0" t="n">
        <f aca="false">IF(A121="池尻大橋",1,0)</f>
        <v>0</v>
      </c>
      <c r="N121" s="0" t="n">
        <f aca="false">IF(A121="三軒茶屋",1,0)</f>
        <v>0</v>
      </c>
      <c r="O121" s="0" t="n">
        <f aca="false">IF(A121="駒沢大学",1,0)</f>
        <v>0</v>
      </c>
      <c r="P121" s="0" t="n">
        <f aca="false">IF(A121="桜新町",1,0)</f>
        <v>0</v>
      </c>
      <c r="Q121" s="0" t="n">
        <f aca="false">IF(A121="二子玉川",1,0)</f>
        <v>0</v>
      </c>
      <c r="R121" s="0" t="n">
        <f aca="false">IF(E121=2021,1,0)</f>
        <v>0</v>
      </c>
      <c r="S121" s="0" t="n">
        <f aca="false">IF(E121=2022,1,0)</f>
        <v>0</v>
      </c>
      <c r="T121" s="0" t="n">
        <f aca="false">IF(E121=2023,1,0)</f>
        <v>1</v>
      </c>
      <c r="U121" s="0" t="n">
        <f aca="false">IF(E121=2024,1,0)</f>
        <v>0</v>
      </c>
    </row>
    <row r="122" customFormat="false" ht="15" hidden="false" customHeight="false" outlineLevel="0" collapsed="false">
      <c r="A122" s="1" t="s">
        <v>20</v>
      </c>
      <c r="B122" s="0" t="n">
        <v>11</v>
      </c>
      <c r="C122" s="0" t="n">
        <v>80</v>
      </c>
      <c r="D122" s="0" t="n">
        <v>2009</v>
      </c>
      <c r="E122" s="0" t="n">
        <v>2023</v>
      </c>
      <c r="F122" s="1" t="s">
        <v>19</v>
      </c>
      <c r="G122" s="0" t="n">
        <v>100000000</v>
      </c>
      <c r="H122" s="0" t="n">
        <f aca="false">LN(G122/C122)</f>
        <v>14.0386541092785</v>
      </c>
      <c r="I122" s="0" t="n">
        <f aca="false">B122</f>
        <v>11</v>
      </c>
      <c r="J122" s="0" t="n">
        <f aca="false">E122-D122</f>
        <v>14</v>
      </c>
      <c r="K122" s="0" t="n">
        <f aca="false">C122</f>
        <v>80</v>
      </c>
      <c r="L122" s="0" t="n">
        <f aca="false">IF(F122="改装済み",1,0)</f>
        <v>0</v>
      </c>
      <c r="M122" s="0" t="n">
        <f aca="false">IF(A122="池尻大橋",1,0)</f>
        <v>0</v>
      </c>
      <c r="N122" s="0" t="n">
        <f aca="false">IF(A122="三軒茶屋",1,0)</f>
        <v>0</v>
      </c>
      <c r="O122" s="0" t="n">
        <f aca="false">IF(A122="駒沢大学",1,0)</f>
        <v>0</v>
      </c>
      <c r="P122" s="0" t="n">
        <f aca="false">IF(A122="桜新町",1,0)</f>
        <v>0</v>
      </c>
      <c r="Q122" s="0" t="n">
        <f aca="false">IF(A122="二子玉川",1,0)</f>
        <v>0</v>
      </c>
      <c r="R122" s="0" t="n">
        <f aca="false">IF(E122=2021,1,0)</f>
        <v>0</v>
      </c>
      <c r="S122" s="0" t="n">
        <f aca="false">IF(E122=2022,1,0)</f>
        <v>0</v>
      </c>
      <c r="T122" s="0" t="n">
        <f aca="false">IF(E122=2023,1,0)</f>
        <v>1</v>
      </c>
      <c r="U122" s="0" t="n">
        <f aca="false">IF(E122=2024,1,0)</f>
        <v>0</v>
      </c>
    </row>
    <row r="123" customFormat="false" ht="15" hidden="false" customHeight="false" outlineLevel="0" collapsed="false">
      <c r="A123" s="1" t="s">
        <v>20</v>
      </c>
      <c r="B123" s="0" t="n">
        <v>15</v>
      </c>
      <c r="C123" s="0" t="n">
        <v>55</v>
      </c>
      <c r="D123" s="0" t="n">
        <v>2012</v>
      </c>
      <c r="E123" s="0" t="n">
        <v>2023</v>
      </c>
      <c r="F123" s="1" t="s">
        <v>19</v>
      </c>
      <c r="G123" s="0" t="n">
        <v>54000000</v>
      </c>
      <c r="H123" s="0" t="n">
        <f aca="false">LN(G123/C123)</f>
        <v>13.7971614192961</v>
      </c>
      <c r="I123" s="0" t="n">
        <f aca="false">B123</f>
        <v>15</v>
      </c>
      <c r="J123" s="0" t="n">
        <f aca="false">E123-D123</f>
        <v>11</v>
      </c>
      <c r="K123" s="0" t="n">
        <f aca="false">C123</f>
        <v>55</v>
      </c>
      <c r="L123" s="0" t="n">
        <f aca="false">IF(F123="改装済み",1,0)</f>
        <v>0</v>
      </c>
      <c r="M123" s="0" t="n">
        <f aca="false">IF(A123="池尻大橋",1,0)</f>
        <v>0</v>
      </c>
      <c r="N123" s="0" t="n">
        <f aca="false">IF(A123="三軒茶屋",1,0)</f>
        <v>0</v>
      </c>
      <c r="O123" s="0" t="n">
        <f aca="false">IF(A123="駒沢大学",1,0)</f>
        <v>0</v>
      </c>
      <c r="P123" s="0" t="n">
        <f aca="false">IF(A123="桜新町",1,0)</f>
        <v>0</v>
      </c>
      <c r="Q123" s="0" t="n">
        <f aca="false">IF(A123="二子玉川",1,0)</f>
        <v>0</v>
      </c>
      <c r="R123" s="0" t="n">
        <f aca="false">IF(E123=2021,1,0)</f>
        <v>0</v>
      </c>
      <c r="S123" s="0" t="n">
        <f aca="false">IF(E123=2022,1,0)</f>
        <v>0</v>
      </c>
      <c r="T123" s="0" t="n">
        <f aca="false">IF(E123=2023,1,0)</f>
        <v>1</v>
      </c>
      <c r="U123" s="0" t="n">
        <f aca="false">IF(E123=2024,1,0)</f>
        <v>0</v>
      </c>
    </row>
    <row r="124" customFormat="false" ht="15" hidden="false" customHeight="false" outlineLevel="0" collapsed="false">
      <c r="A124" s="1" t="s">
        <v>20</v>
      </c>
      <c r="B124" s="0" t="n">
        <v>12</v>
      </c>
      <c r="C124" s="0" t="n">
        <v>85</v>
      </c>
      <c r="D124" s="0" t="n">
        <v>1982</v>
      </c>
      <c r="E124" s="0" t="n">
        <v>2022</v>
      </c>
      <c r="F124" s="1" t="s">
        <v>18</v>
      </c>
      <c r="G124" s="0" t="n">
        <v>70000000</v>
      </c>
      <c r="H124" s="0" t="n">
        <f aca="false">LN(G124/C124)</f>
        <v>13.6213545435233</v>
      </c>
      <c r="I124" s="0" t="n">
        <f aca="false">B124</f>
        <v>12</v>
      </c>
      <c r="J124" s="0" t="n">
        <f aca="false">E124-D124</f>
        <v>40</v>
      </c>
      <c r="K124" s="0" t="n">
        <f aca="false">C124</f>
        <v>85</v>
      </c>
      <c r="L124" s="0" t="n">
        <f aca="false">IF(F124="改装済み",1,0)</f>
        <v>1</v>
      </c>
      <c r="M124" s="0" t="n">
        <f aca="false">IF(A124="池尻大橋",1,0)</f>
        <v>0</v>
      </c>
      <c r="N124" s="0" t="n">
        <f aca="false">IF(A124="三軒茶屋",1,0)</f>
        <v>0</v>
      </c>
      <c r="O124" s="0" t="n">
        <f aca="false">IF(A124="駒沢大学",1,0)</f>
        <v>0</v>
      </c>
      <c r="P124" s="0" t="n">
        <f aca="false">IF(A124="桜新町",1,0)</f>
        <v>0</v>
      </c>
      <c r="Q124" s="0" t="n">
        <f aca="false">IF(A124="二子玉川",1,0)</f>
        <v>0</v>
      </c>
      <c r="R124" s="0" t="n">
        <f aca="false">IF(E124=2021,1,0)</f>
        <v>0</v>
      </c>
      <c r="S124" s="0" t="n">
        <f aca="false">IF(E124=2022,1,0)</f>
        <v>1</v>
      </c>
      <c r="T124" s="0" t="n">
        <f aca="false">IF(E124=2023,1,0)</f>
        <v>0</v>
      </c>
      <c r="U124" s="0" t="n">
        <f aca="false">IF(E124=2024,1,0)</f>
        <v>0</v>
      </c>
    </row>
    <row r="125" customFormat="false" ht="15" hidden="false" customHeight="false" outlineLevel="0" collapsed="false">
      <c r="A125" s="1" t="s">
        <v>20</v>
      </c>
      <c r="B125" s="0" t="n">
        <v>8</v>
      </c>
      <c r="C125" s="0" t="n">
        <v>75</v>
      </c>
      <c r="D125" s="0" t="n">
        <v>2005</v>
      </c>
      <c r="E125" s="0" t="n">
        <v>2022</v>
      </c>
      <c r="F125" s="1" t="s">
        <v>19</v>
      </c>
      <c r="G125" s="0" t="n">
        <v>78000000</v>
      </c>
      <c r="H125" s="0" t="n">
        <f aca="false">LN(G125/C125)</f>
        <v>13.8547312711176</v>
      </c>
      <c r="I125" s="0" t="n">
        <f aca="false">B125</f>
        <v>8</v>
      </c>
      <c r="J125" s="0" t="n">
        <f aca="false">E125-D125</f>
        <v>17</v>
      </c>
      <c r="K125" s="0" t="n">
        <f aca="false">C125</f>
        <v>75</v>
      </c>
      <c r="L125" s="0" t="n">
        <f aca="false">IF(F125="改装済み",1,0)</f>
        <v>0</v>
      </c>
      <c r="M125" s="0" t="n">
        <f aca="false">IF(A125="池尻大橋",1,0)</f>
        <v>0</v>
      </c>
      <c r="N125" s="0" t="n">
        <f aca="false">IF(A125="三軒茶屋",1,0)</f>
        <v>0</v>
      </c>
      <c r="O125" s="0" t="n">
        <f aca="false">IF(A125="駒沢大学",1,0)</f>
        <v>0</v>
      </c>
      <c r="P125" s="0" t="n">
        <f aca="false">IF(A125="桜新町",1,0)</f>
        <v>0</v>
      </c>
      <c r="Q125" s="0" t="n">
        <f aca="false">IF(A125="二子玉川",1,0)</f>
        <v>0</v>
      </c>
      <c r="R125" s="0" t="n">
        <f aca="false">IF(E125=2021,1,0)</f>
        <v>0</v>
      </c>
      <c r="S125" s="0" t="n">
        <f aca="false">IF(E125=2022,1,0)</f>
        <v>1</v>
      </c>
      <c r="T125" s="0" t="n">
        <f aca="false">IF(E125=2023,1,0)</f>
        <v>0</v>
      </c>
      <c r="U125" s="0" t="n">
        <f aca="false">IF(E125=2024,1,0)</f>
        <v>0</v>
      </c>
    </row>
    <row r="126" customFormat="false" ht="15" hidden="false" customHeight="false" outlineLevel="0" collapsed="false">
      <c r="A126" s="1" t="s">
        <v>20</v>
      </c>
      <c r="B126" s="0" t="n">
        <v>20</v>
      </c>
      <c r="C126" s="0" t="n">
        <v>65</v>
      </c>
      <c r="D126" s="0" t="n">
        <v>1981</v>
      </c>
      <c r="E126" s="0" t="n">
        <v>2022</v>
      </c>
      <c r="F126" s="1" t="s">
        <v>19</v>
      </c>
      <c r="G126" s="0" t="n">
        <v>21000000</v>
      </c>
      <c r="H126" s="0" t="n">
        <f aca="false">LN(G126/C126)</f>
        <v>12.6856457257921</v>
      </c>
      <c r="I126" s="0" t="n">
        <f aca="false">B126</f>
        <v>20</v>
      </c>
      <c r="J126" s="0" t="n">
        <f aca="false">E126-D126</f>
        <v>41</v>
      </c>
      <c r="K126" s="0" t="n">
        <f aca="false">C126</f>
        <v>65</v>
      </c>
      <c r="L126" s="0" t="n">
        <f aca="false">IF(F126="改装済み",1,0)</f>
        <v>0</v>
      </c>
      <c r="M126" s="0" t="n">
        <f aca="false">IF(A126="池尻大橋",1,0)</f>
        <v>0</v>
      </c>
      <c r="N126" s="0" t="n">
        <f aca="false">IF(A126="三軒茶屋",1,0)</f>
        <v>0</v>
      </c>
      <c r="O126" s="0" t="n">
        <f aca="false">IF(A126="駒沢大学",1,0)</f>
        <v>0</v>
      </c>
      <c r="P126" s="0" t="n">
        <f aca="false">IF(A126="桜新町",1,0)</f>
        <v>0</v>
      </c>
      <c r="Q126" s="0" t="n">
        <f aca="false">IF(A126="二子玉川",1,0)</f>
        <v>0</v>
      </c>
      <c r="R126" s="0" t="n">
        <f aca="false">IF(E126=2021,1,0)</f>
        <v>0</v>
      </c>
      <c r="S126" s="0" t="n">
        <f aca="false">IF(E126=2022,1,0)</f>
        <v>1</v>
      </c>
      <c r="T126" s="0" t="n">
        <f aca="false">IF(E126=2023,1,0)</f>
        <v>0</v>
      </c>
      <c r="U126" s="0" t="n">
        <f aca="false">IF(E126=2024,1,0)</f>
        <v>0</v>
      </c>
    </row>
    <row r="127" customFormat="false" ht="15" hidden="false" customHeight="false" outlineLevel="0" collapsed="false">
      <c r="A127" s="1" t="s">
        <v>20</v>
      </c>
      <c r="B127" s="0" t="n">
        <v>10</v>
      </c>
      <c r="C127" s="0" t="n">
        <v>60</v>
      </c>
      <c r="D127" s="0" t="n">
        <v>2003</v>
      </c>
      <c r="E127" s="0" t="n">
        <v>2022</v>
      </c>
      <c r="F127" s="1" t="s">
        <v>18</v>
      </c>
      <c r="G127" s="0" t="n">
        <v>73000000</v>
      </c>
      <c r="H127" s="0" t="n">
        <f aca="false">LN(G127/C127)</f>
        <v>14.0116254368906</v>
      </c>
      <c r="I127" s="0" t="n">
        <f aca="false">B127</f>
        <v>10</v>
      </c>
      <c r="J127" s="0" t="n">
        <f aca="false">E127-D127</f>
        <v>19</v>
      </c>
      <c r="K127" s="0" t="n">
        <f aca="false">C127</f>
        <v>60</v>
      </c>
      <c r="L127" s="0" t="n">
        <f aca="false">IF(F127="改装済み",1,0)</f>
        <v>1</v>
      </c>
      <c r="M127" s="0" t="n">
        <f aca="false">IF(A127="池尻大橋",1,0)</f>
        <v>0</v>
      </c>
      <c r="N127" s="0" t="n">
        <f aca="false">IF(A127="三軒茶屋",1,0)</f>
        <v>0</v>
      </c>
      <c r="O127" s="0" t="n">
        <f aca="false">IF(A127="駒沢大学",1,0)</f>
        <v>0</v>
      </c>
      <c r="P127" s="0" t="n">
        <f aca="false">IF(A127="桜新町",1,0)</f>
        <v>0</v>
      </c>
      <c r="Q127" s="0" t="n">
        <f aca="false">IF(A127="二子玉川",1,0)</f>
        <v>0</v>
      </c>
      <c r="R127" s="0" t="n">
        <f aca="false">IF(E127=2021,1,0)</f>
        <v>0</v>
      </c>
      <c r="S127" s="0" t="n">
        <f aca="false">IF(E127=2022,1,0)</f>
        <v>1</v>
      </c>
      <c r="T127" s="0" t="n">
        <f aca="false">IF(E127=2023,1,0)</f>
        <v>0</v>
      </c>
      <c r="U127" s="0" t="n">
        <f aca="false">IF(E127=2024,1,0)</f>
        <v>0</v>
      </c>
    </row>
    <row r="128" customFormat="false" ht="15" hidden="false" customHeight="false" outlineLevel="0" collapsed="false">
      <c r="A128" s="1" t="s">
        <v>20</v>
      </c>
      <c r="B128" s="0" t="n">
        <v>6</v>
      </c>
      <c r="C128" s="0" t="n">
        <v>50</v>
      </c>
      <c r="D128" s="0" t="n">
        <v>1984</v>
      </c>
      <c r="E128" s="0" t="n">
        <v>2022</v>
      </c>
      <c r="F128" s="1" t="s">
        <v>19</v>
      </c>
      <c r="G128" s="0" t="n">
        <v>45000000</v>
      </c>
      <c r="H128" s="0" t="n">
        <f aca="false">LN(G128/C128)</f>
        <v>13.7101500423064</v>
      </c>
      <c r="I128" s="0" t="n">
        <f aca="false">B128</f>
        <v>6</v>
      </c>
      <c r="J128" s="0" t="n">
        <f aca="false">E128-D128</f>
        <v>38</v>
      </c>
      <c r="K128" s="0" t="n">
        <f aca="false">C128</f>
        <v>50</v>
      </c>
      <c r="L128" s="0" t="n">
        <f aca="false">IF(F128="改装済み",1,0)</f>
        <v>0</v>
      </c>
      <c r="M128" s="0" t="n">
        <f aca="false">IF(A128="池尻大橋",1,0)</f>
        <v>0</v>
      </c>
      <c r="N128" s="0" t="n">
        <f aca="false">IF(A128="三軒茶屋",1,0)</f>
        <v>0</v>
      </c>
      <c r="O128" s="0" t="n">
        <f aca="false">IF(A128="駒沢大学",1,0)</f>
        <v>0</v>
      </c>
      <c r="P128" s="0" t="n">
        <f aca="false">IF(A128="桜新町",1,0)</f>
        <v>0</v>
      </c>
      <c r="Q128" s="0" t="n">
        <f aca="false">IF(A128="二子玉川",1,0)</f>
        <v>0</v>
      </c>
      <c r="R128" s="0" t="n">
        <f aca="false">IF(E128=2021,1,0)</f>
        <v>0</v>
      </c>
      <c r="S128" s="0" t="n">
        <f aca="false">IF(E128=2022,1,0)</f>
        <v>1</v>
      </c>
      <c r="T128" s="0" t="n">
        <f aca="false">IF(E128=2023,1,0)</f>
        <v>0</v>
      </c>
      <c r="U128" s="0" t="n">
        <f aca="false">IF(E128=2024,1,0)</f>
        <v>0</v>
      </c>
    </row>
    <row r="129" customFormat="false" ht="15" hidden="false" customHeight="false" outlineLevel="0" collapsed="false">
      <c r="A129" s="1" t="s">
        <v>20</v>
      </c>
      <c r="B129" s="0" t="n">
        <v>18</v>
      </c>
      <c r="C129" s="0" t="n">
        <v>85</v>
      </c>
      <c r="D129" s="0" t="n">
        <v>1968</v>
      </c>
      <c r="E129" s="0" t="n">
        <v>2022</v>
      </c>
      <c r="F129" s="1" t="s">
        <v>19</v>
      </c>
      <c r="G129" s="0" t="n">
        <v>49000000</v>
      </c>
      <c r="H129" s="0" t="n">
        <f aca="false">LN(G129/C129)</f>
        <v>13.2646795995846</v>
      </c>
      <c r="I129" s="0" t="n">
        <f aca="false">B129</f>
        <v>18</v>
      </c>
      <c r="J129" s="0" t="n">
        <f aca="false">E129-D129</f>
        <v>54</v>
      </c>
      <c r="K129" s="0" t="n">
        <f aca="false">C129</f>
        <v>85</v>
      </c>
      <c r="L129" s="0" t="n">
        <f aca="false">IF(F129="改装済み",1,0)</f>
        <v>0</v>
      </c>
      <c r="M129" s="0" t="n">
        <f aca="false">IF(A129="池尻大橋",1,0)</f>
        <v>0</v>
      </c>
      <c r="N129" s="0" t="n">
        <f aca="false">IF(A129="三軒茶屋",1,0)</f>
        <v>0</v>
      </c>
      <c r="O129" s="0" t="n">
        <f aca="false">IF(A129="駒沢大学",1,0)</f>
        <v>0</v>
      </c>
      <c r="P129" s="0" t="n">
        <f aca="false">IF(A129="桜新町",1,0)</f>
        <v>0</v>
      </c>
      <c r="Q129" s="0" t="n">
        <f aca="false">IF(A129="二子玉川",1,0)</f>
        <v>0</v>
      </c>
      <c r="R129" s="0" t="n">
        <f aca="false">IF(E129=2021,1,0)</f>
        <v>0</v>
      </c>
      <c r="S129" s="0" t="n">
        <f aca="false">IF(E129=2022,1,0)</f>
        <v>1</v>
      </c>
      <c r="T129" s="0" t="n">
        <f aca="false">IF(E129=2023,1,0)</f>
        <v>0</v>
      </c>
      <c r="U129" s="0" t="n">
        <f aca="false">IF(E129=2024,1,0)</f>
        <v>0</v>
      </c>
    </row>
    <row r="130" customFormat="false" ht="15" hidden="false" customHeight="false" outlineLevel="0" collapsed="false">
      <c r="A130" s="1" t="s">
        <v>20</v>
      </c>
      <c r="B130" s="0" t="n">
        <v>15</v>
      </c>
      <c r="C130" s="0" t="n">
        <v>65</v>
      </c>
      <c r="D130" s="0" t="n">
        <v>2012</v>
      </c>
      <c r="E130" s="0" t="n">
        <v>2022</v>
      </c>
      <c r="F130" s="1" t="s">
        <v>19</v>
      </c>
      <c r="G130" s="0" t="n">
        <v>58000000</v>
      </c>
      <c r="H130" s="0" t="n">
        <f aca="false">LN(G130/C130)</f>
        <v>13.7015662986151</v>
      </c>
      <c r="I130" s="0" t="n">
        <f aca="false">B130</f>
        <v>15</v>
      </c>
      <c r="J130" s="0" t="n">
        <f aca="false">E130-D130</f>
        <v>10</v>
      </c>
      <c r="K130" s="0" t="n">
        <f aca="false">C130</f>
        <v>65</v>
      </c>
      <c r="L130" s="0" t="n">
        <f aca="false">IF(F130="改装済み",1,0)</f>
        <v>0</v>
      </c>
      <c r="M130" s="0" t="n">
        <f aca="false">IF(A130="池尻大橋",1,0)</f>
        <v>0</v>
      </c>
      <c r="N130" s="0" t="n">
        <f aca="false">IF(A130="三軒茶屋",1,0)</f>
        <v>0</v>
      </c>
      <c r="O130" s="0" t="n">
        <f aca="false">IF(A130="駒沢大学",1,0)</f>
        <v>0</v>
      </c>
      <c r="P130" s="0" t="n">
        <f aca="false">IF(A130="桜新町",1,0)</f>
        <v>0</v>
      </c>
      <c r="Q130" s="0" t="n">
        <f aca="false">IF(A130="二子玉川",1,0)</f>
        <v>0</v>
      </c>
      <c r="R130" s="0" t="n">
        <f aca="false">IF(E130=2021,1,0)</f>
        <v>0</v>
      </c>
      <c r="S130" s="0" t="n">
        <f aca="false">IF(E130=2022,1,0)</f>
        <v>1</v>
      </c>
      <c r="T130" s="0" t="n">
        <f aca="false">IF(E130=2023,1,0)</f>
        <v>0</v>
      </c>
      <c r="U130" s="0" t="n">
        <f aca="false">IF(E130=2024,1,0)</f>
        <v>0</v>
      </c>
    </row>
    <row r="131" customFormat="false" ht="15" hidden="false" customHeight="false" outlineLevel="0" collapsed="false">
      <c r="A131" s="1" t="s">
        <v>20</v>
      </c>
      <c r="B131" s="0" t="n">
        <v>12</v>
      </c>
      <c r="C131" s="0" t="n">
        <v>75</v>
      </c>
      <c r="D131" s="0" t="n">
        <v>1982</v>
      </c>
      <c r="E131" s="0" t="n">
        <v>2021</v>
      </c>
      <c r="F131" s="1" t="s">
        <v>18</v>
      </c>
      <c r="G131" s="0" t="n">
        <v>72000000</v>
      </c>
      <c r="H131" s="0" t="n">
        <f aca="false">LN(G131/C131)</f>
        <v>13.774688563444</v>
      </c>
      <c r="I131" s="0" t="n">
        <f aca="false">B131</f>
        <v>12</v>
      </c>
      <c r="J131" s="0" t="n">
        <f aca="false">E131-D131</f>
        <v>39</v>
      </c>
      <c r="K131" s="0" t="n">
        <f aca="false">C131</f>
        <v>75</v>
      </c>
      <c r="L131" s="0" t="n">
        <f aca="false">IF(F131="改装済み",1,0)</f>
        <v>1</v>
      </c>
      <c r="M131" s="0" t="n">
        <f aca="false">IF(A131="池尻大橋",1,0)</f>
        <v>0</v>
      </c>
      <c r="N131" s="0" t="n">
        <f aca="false">IF(A131="三軒茶屋",1,0)</f>
        <v>0</v>
      </c>
      <c r="O131" s="0" t="n">
        <f aca="false">IF(A131="駒沢大学",1,0)</f>
        <v>0</v>
      </c>
      <c r="P131" s="0" t="n">
        <f aca="false">IF(A131="桜新町",1,0)</f>
        <v>0</v>
      </c>
      <c r="Q131" s="0" t="n">
        <f aca="false">IF(A131="二子玉川",1,0)</f>
        <v>0</v>
      </c>
      <c r="R131" s="0" t="n">
        <f aca="false">IF(E131=2021,1,0)</f>
        <v>1</v>
      </c>
      <c r="S131" s="0" t="n">
        <f aca="false">IF(E131=2022,1,0)</f>
        <v>0</v>
      </c>
      <c r="T131" s="0" t="n">
        <f aca="false">IF(E131=2023,1,0)</f>
        <v>0</v>
      </c>
      <c r="U131" s="0" t="n">
        <f aca="false">IF(E131=2024,1,0)</f>
        <v>0</v>
      </c>
    </row>
    <row r="132" customFormat="false" ht="15" hidden="false" customHeight="false" outlineLevel="0" collapsed="false">
      <c r="A132" s="1" t="s">
        <v>20</v>
      </c>
      <c r="B132" s="0" t="n">
        <v>11</v>
      </c>
      <c r="C132" s="0" t="n">
        <v>70</v>
      </c>
      <c r="D132" s="0" t="n">
        <v>1995</v>
      </c>
      <c r="E132" s="0" t="n">
        <v>2021</v>
      </c>
      <c r="F132" s="1" t="s">
        <v>18</v>
      </c>
      <c r="G132" s="0" t="n">
        <v>61000000</v>
      </c>
      <c r="H132" s="0" t="n">
        <f aca="false">LN(G132/C132)</f>
        <v>13.6778891800882</v>
      </c>
      <c r="I132" s="0" t="n">
        <f aca="false">B132</f>
        <v>11</v>
      </c>
      <c r="J132" s="0" t="n">
        <f aca="false">E132-D132</f>
        <v>26</v>
      </c>
      <c r="K132" s="0" t="n">
        <f aca="false">C132</f>
        <v>70</v>
      </c>
      <c r="L132" s="0" t="n">
        <f aca="false">IF(F132="改装済み",1,0)</f>
        <v>1</v>
      </c>
      <c r="M132" s="0" t="n">
        <f aca="false">IF(A132="池尻大橋",1,0)</f>
        <v>0</v>
      </c>
      <c r="N132" s="0" t="n">
        <f aca="false">IF(A132="三軒茶屋",1,0)</f>
        <v>0</v>
      </c>
      <c r="O132" s="0" t="n">
        <f aca="false">IF(A132="駒沢大学",1,0)</f>
        <v>0</v>
      </c>
      <c r="P132" s="0" t="n">
        <f aca="false">IF(A132="桜新町",1,0)</f>
        <v>0</v>
      </c>
      <c r="Q132" s="0" t="n">
        <f aca="false">IF(A132="二子玉川",1,0)</f>
        <v>0</v>
      </c>
      <c r="R132" s="0" t="n">
        <f aca="false">IF(E132=2021,1,0)</f>
        <v>1</v>
      </c>
      <c r="S132" s="0" t="n">
        <f aca="false">IF(E132=2022,1,0)</f>
        <v>0</v>
      </c>
      <c r="T132" s="0" t="n">
        <f aca="false">IF(E132=2023,1,0)</f>
        <v>0</v>
      </c>
      <c r="U132" s="0" t="n">
        <f aca="false">IF(E132=2024,1,0)</f>
        <v>0</v>
      </c>
    </row>
    <row r="133" customFormat="false" ht="15" hidden="false" customHeight="false" outlineLevel="0" collapsed="false">
      <c r="A133" s="1" t="s">
        <v>20</v>
      </c>
      <c r="B133" s="0" t="n">
        <v>12</v>
      </c>
      <c r="C133" s="0" t="n">
        <v>65</v>
      </c>
      <c r="D133" s="0" t="n">
        <v>2000</v>
      </c>
      <c r="E133" s="0" t="n">
        <v>2021</v>
      </c>
      <c r="F133" s="1" t="s">
        <v>18</v>
      </c>
      <c r="G133" s="0" t="n">
        <v>67000000</v>
      </c>
      <c r="H133" s="0" t="n">
        <f aca="false">LN(G133/C133)</f>
        <v>13.8458159074596</v>
      </c>
      <c r="I133" s="0" t="n">
        <f aca="false">B133</f>
        <v>12</v>
      </c>
      <c r="J133" s="0" t="n">
        <f aca="false">E133-D133</f>
        <v>21</v>
      </c>
      <c r="K133" s="0" t="n">
        <f aca="false">C133</f>
        <v>65</v>
      </c>
      <c r="L133" s="0" t="n">
        <f aca="false">IF(F133="改装済み",1,0)</f>
        <v>1</v>
      </c>
      <c r="M133" s="0" t="n">
        <f aca="false">IF(A133="池尻大橋",1,0)</f>
        <v>0</v>
      </c>
      <c r="N133" s="0" t="n">
        <f aca="false">IF(A133="三軒茶屋",1,0)</f>
        <v>0</v>
      </c>
      <c r="O133" s="0" t="n">
        <f aca="false">IF(A133="駒沢大学",1,0)</f>
        <v>0</v>
      </c>
      <c r="P133" s="0" t="n">
        <f aca="false">IF(A133="桜新町",1,0)</f>
        <v>0</v>
      </c>
      <c r="Q133" s="0" t="n">
        <f aca="false">IF(A133="二子玉川",1,0)</f>
        <v>0</v>
      </c>
      <c r="R133" s="0" t="n">
        <f aca="false">IF(E133=2021,1,0)</f>
        <v>1</v>
      </c>
      <c r="S133" s="0" t="n">
        <f aca="false">IF(E133=2022,1,0)</f>
        <v>0</v>
      </c>
      <c r="T133" s="0" t="n">
        <f aca="false">IF(E133=2023,1,0)</f>
        <v>0</v>
      </c>
      <c r="U133" s="0" t="n">
        <f aca="false">IF(E133=2024,1,0)</f>
        <v>0</v>
      </c>
    </row>
    <row r="134" customFormat="false" ht="15" hidden="false" customHeight="false" outlineLevel="0" collapsed="false">
      <c r="A134" s="1" t="s">
        <v>20</v>
      </c>
      <c r="B134" s="0" t="n">
        <v>20</v>
      </c>
      <c r="C134" s="0" t="n">
        <v>65</v>
      </c>
      <c r="D134" s="0" t="n">
        <v>1981</v>
      </c>
      <c r="E134" s="0" t="n">
        <v>2021</v>
      </c>
      <c r="F134" s="1" t="s">
        <v>19</v>
      </c>
      <c r="G134" s="0" t="n">
        <v>32000000</v>
      </c>
      <c r="H134" s="0" t="n">
        <f aca="false">LN(G134/C134)</f>
        <v>13.1068591908684</v>
      </c>
      <c r="I134" s="0" t="n">
        <f aca="false">B134</f>
        <v>20</v>
      </c>
      <c r="J134" s="0" t="n">
        <f aca="false">E134-D134</f>
        <v>40</v>
      </c>
      <c r="K134" s="0" t="n">
        <f aca="false">C134</f>
        <v>65</v>
      </c>
      <c r="L134" s="0" t="n">
        <f aca="false">IF(F134="改装済み",1,0)</f>
        <v>0</v>
      </c>
      <c r="M134" s="0" t="n">
        <f aca="false">IF(A134="池尻大橋",1,0)</f>
        <v>0</v>
      </c>
      <c r="N134" s="0" t="n">
        <f aca="false">IF(A134="三軒茶屋",1,0)</f>
        <v>0</v>
      </c>
      <c r="O134" s="0" t="n">
        <f aca="false">IF(A134="駒沢大学",1,0)</f>
        <v>0</v>
      </c>
      <c r="P134" s="0" t="n">
        <f aca="false">IF(A134="桜新町",1,0)</f>
        <v>0</v>
      </c>
      <c r="Q134" s="0" t="n">
        <f aca="false">IF(A134="二子玉川",1,0)</f>
        <v>0</v>
      </c>
      <c r="R134" s="0" t="n">
        <f aca="false">IF(E134=2021,1,0)</f>
        <v>1</v>
      </c>
      <c r="S134" s="0" t="n">
        <f aca="false">IF(E134=2022,1,0)</f>
        <v>0</v>
      </c>
      <c r="T134" s="0" t="n">
        <f aca="false">IF(E134=2023,1,0)</f>
        <v>0</v>
      </c>
      <c r="U134" s="0" t="n">
        <f aca="false">IF(E134=2024,1,0)</f>
        <v>0</v>
      </c>
    </row>
    <row r="135" customFormat="false" ht="15" hidden="false" customHeight="false" outlineLevel="0" collapsed="false">
      <c r="A135" s="1" t="s">
        <v>20</v>
      </c>
      <c r="B135" s="0" t="n">
        <v>11</v>
      </c>
      <c r="C135" s="0" t="n">
        <v>80</v>
      </c>
      <c r="D135" s="0" t="n">
        <v>2009</v>
      </c>
      <c r="E135" s="0" t="n">
        <v>2021</v>
      </c>
      <c r="F135" s="1" t="s">
        <v>19</v>
      </c>
      <c r="G135" s="0" t="n">
        <v>72000000</v>
      </c>
      <c r="H135" s="0" t="n">
        <f aca="false">LN(G135/C135)</f>
        <v>13.7101500423064</v>
      </c>
      <c r="I135" s="0" t="n">
        <f aca="false">B135</f>
        <v>11</v>
      </c>
      <c r="J135" s="0" t="n">
        <f aca="false">E135-D135</f>
        <v>12</v>
      </c>
      <c r="K135" s="0" t="n">
        <f aca="false">C135</f>
        <v>80</v>
      </c>
      <c r="L135" s="0" t="n">
        <f aca="false">IF(F135="改装済み",1,0)</f>
        <v>0</v>
      </c>
      <c r="M135" s="0" t="n">
        <f aca="false">IF(A135="池尻大橋",1,0)</f>
        <v>0</v>
      </c>
      <c r="N135" s="0" t="n">
        <f aca="false">IF(A135="三軒茶屋",1,0)</f>
        <v>0</v>
      </c>
      <c r="O135" s="0" t="n">
        <f aca="false">IF(A135="駒沢大学",1,0)</f>
        <v>0</v>
      </c>
      <c r="P135" s="0" t="n">
        <f aca="false">IF(A135="桜新町",1,0)</f>
        <v>0</v>
      </c>
      <c r="Q135" s="0" t="n">
        <f aca="false">IF(A135="二子玉川",1,0)</f>
        <v>0</v>
      </c>
      <c r="R135" s="0" t="n">
        <f aca="false">IF(E135=2021,1,0)</f>
        <v>1</v>
      </c>
      <c r="S135" s="0" t="n">
        <f aca="false">IF(E135=2022,1,0)</f>
        <v>0</v>
      </c>
      <c r="T135" s="0" t="n">
        <f aca="false">IF(E135=2023,1,0)</f>
        <v>0</v>
      </c>
      <c r="U135" s="0" t="n">
        <f aca="false">IF(E135=2024,1,0)</f>
        <v>0</v>
      </c>
    </row>
    <row r="136" customFormat="false" ht="15" hidden="false" customHeight="false" outlineLevel="0" collapsed="false">
      <c r="A136" s="1" t="s">
        <v>20</v>
      </c>
      <c r="B136" s="0" t="n">
        <v>8</v>
      </c>
      <c r="C136" s="0" t="n">
        <v>80</v>
      </c>
      <c r="D136" s="0" t="n">
        <v>2008</v>
      </c>
      <c r="E136" s="0" t="n">
        <v>2021</v>
      </c>
      <c r="F136" s="1" t="s">
        <v>19</v>
      </c>
      <c r="G136" s="0" t="n">
        <v>83000000</v>
      </c>
      <c r="H136" s="0" t="n">
        <f aca="false">LN(G136/C136)</f>
        <v>13.852324531087</v>
      </c>
      <c r="I136" s="0" t="n">
        <f aca="false">B136</f>
        <v>8</v>
      </c>
      <c r="J136" s="0" t="n">
        <f aca="false">E136-D136</f>
        <v>13</v>
      </c>
      <c r="K136" s="0" t="n">
        <f aca="false">C136</f>
        <v>80</v>
      </c>
      <c r="L136" s="0" t="n">
        <f aca="false">IF(F136="改装済み",1,0)</f>
        <v>0</v>
      </c>
      <c r="M136" s="0" t="n">
        <f aca="false">IF(A136="池尻大橋",1,0)</f>
        <v>0</v>
      </c>
      <c r="N136" s="0" t="n">
        <f aca="false">IF(A136="三軒茶屋",1,0)</f>
        <v>0</v>
      </c>
      <c r="O136" s="0" t="n">
        <f aca="false">IF(A136="駒沢大学",1,0)</f>
        <v>0</v>
      </c>
      <c r="P136" s="0" t="n">
        <f aca="false">IF(A136="桜新町",1,0)</f>
        <v>0</v>
      </c>
      <c r="Q136" s="0" t="n">
        <f aca="false">IF(A136="二子玉川",1,0)</f>
        <v>0</v>
      </c>
      <c r="R136" s="0" t="n">
        <f aca="false">IF(E136=2021,1,0)</f>
        <v>1</v>
      </c>
      <c r="S136" s="0" t="n">
        <f aca="false">IF(E136=2022,1,0)</f>
        <v>0</v>
      </c>
      <c r="T136" s="0" t="n">
        <f aca="false">IF(E136=2023,1,0)</f>
        <v>0</v>
      </c>
      <c r="U136" s="0" t="n">
        <f aca="false">IF(E136=2024,1,0)</f>
        <v>0</v>
      </c>
    </row>
    <row r="137" customFormat="false" ht="15" hidden="false" customHeight="false" outlineLevel="0" collapsed="false">
      <c r="A137" s="1" t="s">
        <v>20</v>
      </c>
      <c r="B137" s="0" t="n">
        <v>11</v>
      </c>
      <c r="C137" s="0" t="n">
        <v>75</v>
      </c>
      <c r="D137" s="0" t="n">
        <v>1995</v>
      </c>
      <c r="E137" s="0" t="n">
        <v>2021</v>
      </c>
      <c r="F137" s="1" t="s">
        <v>19</v>
      </c>
      <c r="G137" s="0" t="n">
        <v>55000000</v>
      </c>
      <c r="H137" s="0" t="n">
        <f aca="false">LN(G137/C137)</f>
        <v>13.5053556296604</v>
      </c>
      <c r="I137" s="0" t="n">
        <f aca="false">B137</f>
        <v>11</v>
      </c>
      <c r="J137" s="0" t="n">
        <f aca="false">E137-D137</f>
        <v>26</v>
      </c>
      <c r="K137" s="0" t="n">
        <f aca="false">C137</f>
        <v>75</v>
      </c>
      <c r="L137" s="0" t="n">
        <f aca="false">IF(F137="改装済み",1,0)</f>
        <v>0</v>
      </c>
      <c r="M137" s="0" t="n">
        <f aca="false">IF(A137="池尻大橋",1,0)</f>
        <v>0</v>
      </c>
      <c r="N137" s="0" t="n">
        <f aca="false">IF(A137="三軒茶屋",1,0)</f>
        <v>0</v>
      </c>
      <c r="O137" s="0" t="n">
        <f aca="false">IF(A137="駒沢大学",1,0)</f>
        <v>0</v>
      </c>
      <c r="P137" s="0" t="n">
        <f aca="false">IF(A137="桜新町",1,0)</f>
        <v>0</v>
      </c>
      <c r="Q137" s="0" t="n">
        <f aca="false">IF(A137="二子玉川",1,0)</f>
        <v>0</v>
      </c>
      <c r="R137" s="0" t="n">
        <f aca="false">IF(E137=2021,1,0)</f>
        <v>1</v>
      </c>
      <c r="S137" s="0" t="n">
        <f aca="false">IF(E137=2022,1,0)</f>
        <v>0</v>
      </c>
      <c r="T137" s="0" t="n">
        <f aca="false">IF(E137=2023,1,0)</f>
        <v>0</v>
      </c>
      <c r="U137" s="0" t="n">
        <f aca="false">IF(E137=2024,1,0)</f>
        <v>0</v>
      </c>
    </row>
    <row r="138" customFormat="false" ht="15" hidden="false" customHeight="false" outlineLevel="0" collapsed="false">
      <c r="A138" s="1" t="s">
        <v>11</v>
      </c>
      <c r="B138" s="0" t="n">
        <v>3</v>
      </c>
      <c r="C138" s="0" t="n">
        <v>80</v>
      </c>
      <c r="D138" s="0" t="n">
        <v>2009</v>
      </c>
      <c r="E138" s="0" t="n">
        <v>2025</v>
      </c>
      <c r="F138" s="1" t="s">
        <v>19</v>
      </c>
      <c r="G138" s="0" t="n">
        <v>130000000</v>
      </c>
      <c r="H138" s="0" t="n">
        <f aca="false">LN(G138/C138)</f>
        <v>14.301018373746</v>
      </c>
      <c r="I138" s="0" t="n">
        <f aca="false">B138</f>
        <v>3</v>
      </c>
      <c r="J138" s="0" t="n">
        <f aca="false">E138-D138</f>
        <v>16</v>
      </c>
      <c r="K138" s="0" t="n">
        <f aca="false">C138</f>
        <v>80</v>
      </c>
      <c r="L138" s="0" t="n">
        <f aca="false">IF(F138="改装済み",1,0)</f>
        <v>0</v>
      </c>
      <c r="M138" s="0" t="n">
        <f aca="false">IF(A138="池尻大橋",1,0)</f>
        <v>0</v>
      </c>
      <c r="N138" s="0" t="n">
        <f aca="false">IF(A138="三軒茶屋",1,0)</f>
        <v>0</v>
      </c>
      <c r="O138" s="0" t="n">
        <f aca="false">IF(A138="駒沢大学",1,0)</f>
        <v>1</v>
      </c>
      <c r="P138" s="0" t="n">
        <f aca="false">IF(A138="桜新町",1,0)</f>
        <v>0</v>
      </c>
      <c r="Q138" s="0" t="n">
        <f aca="false">IF(A138="二子玉川",1,0)</f>
        <v>0</v>
      </c>
      <c r="R138" s="0" t="n">
        <f aca="false">IF(E138=2021,1,0)</f>
        <v>0</v>
      </c>
      <c r="S138" s="0" t="n">
        <f aca="false">IF(E138=2022,1,0)</f>
        <v>0</v>
      </c>
      <c r="T138" s="0" t="n">
        <f aca="false">IF(E138=2023,1,0)</f>
        <v>0</v>
      </c>
      <c r="U138" s="0" t="n">
        <f aca="false">IF(E138=2024,1,0)</f>
        <v>0</v>
      </c>
    </row>
    <row r="139" customFormat="false" ht="15" hidden="false" customHeight="false" outlineLevel="0" collapsed="false">
      <c r="A139" s="1" t="s">
        <v>11</v>
      </c>
      <c r="B139" s="0" t="n">
        <v>2</v>
      </c>
      <c r="C139" s="0" t="n">
        <v>70</v>
      </c>
      <c r="D139" s="0" t="n">
        <v>2015</v>
      </c>
      <c r="E139" s="0" t="n">
        <v>2025</v>
      </c>
      <c r="F139" s="1" t="s">
        <v>19</v>
      </c>
      <c r="G139" s="0" t="n">
        <v>130000000</v>
      </c>
      <c r="H139" s="0" t="n">
        <f aca="false">LN(G139/C139)</f>
        <v>14.4345497663705</v>
      </c>
      <c r="I139" s="0" t="n">
        <f aca="false">B139</f>
        <v>2</v>
      </c>
      <c r="J139" s="0" t="n">
        <f aca="false">E139-D139</f>
        <v>10</v>
      </c>
      <c r="K139" s="0" t="n">
        <f aca="false">C139</f>
        <v>70</v>
      </c>
      <c r="L139" s="0" t="n">
        <f aca="false">IF(F139="改装済み",1,0)</f>
        <v>0</v>
      </c>
      <c r="M139" s="0" t="n">
        <f aca="false">IF(A139="池尻大橋",1,0)</f>
        <v>0</v>
      </c>
      <c r="N139" s="0" t="n">
        <f aca="false">IF(A139="三軒茶屋",1,0)</f>
        <v>0</v>
      </c>
      <c r="O139" s="0" t="n">
        <f aca="false">IF(A139="駒沢大学",1,0)</f>
        <v>1</v>
      </c>
      <c r="P139" s="0" t="n">
        <f aca="false">IF(A139="桜新町",1,0)</f>
        <v>0</v>
      </c>
      <c r="Q139" s="0" t="n">
        <f aca="false">IF(A139="二子玉川",1,0)</f>
        <v>0</v>
      </c>
      <c r="R139" s="0" t="n">
        <f aca="false">IF(E139=2021,1,0)</f>
        <v>0</v>
      </c>
      <c r="S139" s="0" t="n">
        <f aca="false">IF(E139=2022,1,0)</f>
        <v>0</v>
      </c>
      <c r="T139" s="0" t="n">
        <f aca="false">IF(E139=2023,1,0)</f>
        <v>0</v>
      </c>
      <c r="U139" s="0" t="n">
        <f aca="false">IF(E139=2024,1,0)</f>
        <v>0</v>
      </c>
    </row>
    <row r="140" customFormat="false" ht="15" hidden="false" customHeight="false" outlineLevel="0" collapsed="false">
      <c r="A140" s="1" t="s">
        <v>11</v>
      </c>
      <c r="B140" s="0" t="n">
        <v>19</v>
      </c>
      <c r="C140" s="0" t="n">
        <v>90</v>
      </c>
      <c r="D140" s="0" t="n">
        <v>1988</v>
      </c>
      <c r="E140" s="0" t="n">
        <v>2025</v>
      </c>
      <c r="F140" s="1" t="s">
        <v>19</v>
      </c>
      <c r="G140" s="0" t="n">
        <v>62000000</v>
      </c>
      <c r="H140" s="0" t="n">
        <f aca="false">LN(G140/C140)</f>
        <v>13.4428352726791</v>
      </c>
      <c r="I140" s="0" t="n">
        <f aca="false">B140</f>
        <v>19</v>
      </c>
      <c r="J140" s="0" t="n">
        <f aca="false">E140-D140</f>
        <v>37</v>
      </c>
      <c r="K140" s="0" t="n">
        <f aca="false">C140</f>
        <v>90</v>
      </c>
      <c r="L140" s="0" t="n">
        <f aca="false">IF(F140="改装済み",1,0)</f>
        <v>0</v>
      </c>
      <c r="M140" s="0" t="n">
        <f aca="false">IF(A140="池尻大橋",1,0)</f>
        <v>0</v>
      </c>
      <c r="N140" s="0" t="n">
        <f aca="false">IF(A140="三軒茶屋",1,0)</f>
        <v>0</v>
      </c>
      <c r="O140" s="0" t="n">
        <f aca="false">IF(A140="駒沢大学",1,0)</f>
        <v>1</v>
      </c>
      <c r="P140" s="0" t="n">
        <f aca="false">IF(A140="桜新町",1,0)</f>
        <v>0</v>
      </c>
      <c r="Q140" s="0" t="n">
        <f aca="false">IF(A140="二子玉川",1,0)</f>
        <v>0</v>
      </c>
      <c r="R140" s="0" t="n">
        <f aca="false">IF(E140=2021,1,0)</f>
        <v>0</v>
      </c>
      <c r="S140" s="0" t="n">
        <f aca="false">IF(E140=2022,1,0)</f>
        <v>0</v>
      </c>
      <c r="T140" s="0" t="n">
        <f aca="false">IF(E140=2023,1,0)</f>
        <v>0</v>
      </c>
      <c r="U140" s="0" t="n">
        <f aca="false">IF(E140=2024,1,0)</f>
        <v>0</v>
      </c>
    </row>
    <row r="141" customFormat="false" ht="15" hidden="false" customHeight="false" outlineLevel="0" collapsed="false">
      <c r="A141" s="1" t="s">
        <v>11</v>
      </c>
      <c r="B141" s="0" t="n">
        <v>4</v>
      </c>
      <c r="C141" s="0" t="n">
        <v>50</v>
      </c>
      <c r="D141" s="0" t="n">
        <v>2018</v>
      </c>
      <c r="E141" s="0" t="n">
        <v>2025</v>
      </c>
      <c r="F141" s="1" t="s">
        <v>19</v>
      </c>
      <c r="G141" s="0" t="n">
        <v>90000000</v>
      </c>
      <c r="H141" s="0" t="n">
        <f aca="false">LN(G141/C141)</f>
        <v>14.4032972228664</v>
      </c>
      <c r="I141" s="0" t="n">
        <f aca="false">B141</f>
        <v>4</v>
      </c>
      <c r="J141" s="0" t="n">
        <f aca="false">E141-D141</f>
        <v>7</v>
      </c>
      <c r="K141" s="0" t="n">
        <f aca="false">C141</f>
        <v>50</v>
      </c>
      <c r="L141" s="0" t="n">
        <f aca="false">IF(F141="改装済み",1,0)</f>
        <v>0</v>
      </c>
      <c r="M141" s="0" t="n">
        <f aca="false">IF(A141="池尻大橋",1,0)</f>
        <v>0</v>
      </c>
      <c r="N141" s="0" t="n">
        <f aca="false">IF(A141="三軒茶屋",1,0)</f>
        <v>0</v>
      </c>
      <c r="O141" s="0" t="n">
        <f aca="false">IF(A141="駒沢大学",1,0)</f>
        <v>1</v>
      </c>
      <c r="P141" s="0" t="n">
        <f aca="false">IF(A141="桜新町",1,0)</f>
        <v>0</v>
      </c>
      <c r="Q141" s="0" t="n">
        <f aca="false">IF(A141="二子玉川",1,0)</f>
        <v>0</v>
      </c>
      <c r="R141" s="0" t="n">
        <f aca="false">IF(E141=2021,1,0)</f>
        <v>0</v>
      </c>
      <c r="S141" s="0" t="n">
        <f aca="false">IF(E141=2022,1,0)</f>
        <v>0</v>
      </c>
      <c r="T141" s="0" t="n">
        <f aca="false">IF(E141=2023,1,0)</f>
        <v>0</v>
      </c>
      <c r="U141" s="0" t="n">
        <f aca="false">IF(E141=2024,1,0)</f>
        <v>0</v>
      </c>
    </row>
    <row r="142" customFormat="false" ht="15" hidden="false" customHeight="false" outlineLevel="0" collapsed="false">
      <c r="A142" s="1" t="s">
        <v>11</v>
      </c>
      <c r="B142" s="0" t="n">
        <v>4</v>
      </c>
      <c r="C142" s="0" t="n">
        <v>60</v>
      </c>
      <c r="D142" s="0" t="n">
        <v>2014</v>
      </c>
      <c r="E142" s="0" t="n">
        <v>2025</v>
      </c>
      <c r="F142" s="1" t="s">
        <v>19</v>
      </c>
      <c r="G142" s="0" t="n">
        <v>100000000</v>
      </c>
      <c r="H142" s="0" t="n">
        <f aca="false">LN(G142/C142)</f>
        <v>14.3263361817303</v>
      </c>
      <c r="I142" s="0" t="n">
        <f aca="false">B142</f>
        <v>4</v>
      </c>
      <c r="J142" s="0" t="n">
        <f aca="false">E142-D142</f>
        <v>11</v>
      </c>
      <c r="K142" s="0" t="n">
        <f aca="false">C142</f>
        <v>60</v>
      </c>
      <c r="L142" s="0" t="n">
        <f aca="false">IF(F142="改装済み",1,0)</f>
        <v>0</v>
      </c>
      <c r="M142" s="0" t="n">
        <f aca="false">IF(A142="池尻大橋",1,0)</f>
        <v>0</v>
      </c>
      <c r="N142" s="0" t="n">
        <f aca="false">IF(A142="三軒茶屋",1,0)</f>
        <v>0</v>
      </c>
      <c r="O142" s="0" t="n">
        <f aca="false">IF(A142="駒沢大学",1,0)</f>
        <v>1</v>
      </c>
      <c r="P142" s="0" t="n">
        <f aca="false">IF(A142="桜新町",1,0)</f>
        <v>0</v>
      </c>
      <c r="Q142" s="0" t="n">
        <f aca="false">IF(A142="二子玉川",1,0)</f>
        <v>0</v>
      </c>
      <c r="R142" s="0" t="n">
        <f aca="false">IF(E142=2021,1,0)</f>
        <v>0</v>
      </c>
      <c r="S142" s="0" t="n">
        <f aca="false">IF(E142=2022,1,0)</f>
        <v>0</v>
      </c>
      <c r="T142" s="0" t="n">
        <f aca="false">IF(E142=2023,1,0)</f>
        <v>0</v>
      </c>
      <c r="U142" s="0" t="n">
        <f aca="false">IF(E142=2024,1,0)</f>
        <v>0</v>
      </c>
    </row>
    <row r="143" customFormat="false" ht="15" hidden="false" customHeight="false" outlineLevel="0" collapsed="false">
      <c r="A143" s="1" t="s">
        <v>11</v>
      </c>
      <c r="B143" s="0" t="n">
        <v>4</v>
      </c>
      <c r="C143" s="0" t="n">
        <v>60</v>
      </c>
      <c r="D143" s="0" t="n">
        <v>2014</v>
      </c>
      <c r="E143" s="0" t="n">
        <v>2025</v>
      </c>
      <c r="F143" s="1" t="s">
        <v>18</v>
      </c>
      <c r="G143" s="0" t="n">
        <v>120000000</v>
      </c>
      <c r="H143" s="0" t="n">
        <f aca="false">LN(G143/C143)</f>
        <v>14.5086577385242</v>
      </c>
      <c r="I143" s="0" t="n">
        <f aca="false">B143</f>
        <v>4</v>
      </c>
      <c r="J143" s="0" t="n">
        <f aca="false">E143-D143</f>
        <v>11</v>
      </c>
      <c r="K143" s="0" t="n">
        <f aca="false">C143</f>
        <v>60</v>
      </c>
      <c r="L143" s="0" t="n">
        <f aca="false">IF(F143="改装済み",1,0)</f>
        <v>1</v>
      </c>
      <c r="M143" s="0" t="n">
        <f aca="false">IF(A143="池尻大橋",1,0)</f>
        <v>0</v>
      </c>
      <c r="N143" s="0" t="n">
        <f aca="false">IF(A143="三軒茶屋",1,0)</f>
        <v>0</v>
      </c>
      <c r="O143" s="0" t="n">
        <f aca="false">IF(A143="駒沢大学",1,0)</f>
        <v>1</v>
      </c>
      <c r="P143" s="0" t="n">
        <f aca="false">IF(A143="桜新町",1,0)</f>
        <v>0</v>
      </c>
      <c r="Q143" s="0" t="n">
        <f aca="false">IF(A143="二子玉川",1,0)</f>
        <v>0</v>
      </c>
      <c r="R143" s="0" t="n">
        <f aca="false">IF(E143=2021,1,0)</f>
        <v>0</v>
      </c>
      <c r="S143" s="0" t="n">
        <f aca="false">IF(E143=2022,1,0)</f>
        <v>0</v>
      </c>
      <c r="T143" s="0" t="n">
        <f aca="false">IF(E143=2023,1,0)</f>
        <v>0</v>
      </c>
      <c r="U143" s="0" t="n">
        <f aca="false">IF(E143=2024,1,0)</f>
        <v>0</v>
      </c>
    </row>
    <row r="144" customFormat="false" ht="15" hidden="false" customHeight="false" outlineLevel="0" collapsed="false">
      <c r="A144" s="1" t="s">
        <v>11</v>
      </c>
      <c r="B144" s="0" t="n">
        <v>2</v>
      </c>
      <c r="C144" s="0" t="n">
        <v>65</v>
      </c>
      <c r="D144" s="0" t="n">
        <v>2015</v>
      </c>
      <c r="E144" s="0" t="n">
        <v>2024</v>
      </c>
      <c r="F144" s="1" t="s">
        <v>19</v>
      </c>
      <c r="G144" s="0" t="n">
        <v>130000000</v>
      </c>
      <c r="H144" s="0" t="n">
        <f aca="false">LN(G144/C144)</f>
        <v>14.5086577385242</v>
      </c>
      <c r="I144" s="0" t="n">
        <f aca="false">B144</f>
        <v>2</v>
      </c>
      <c r="J144" s="0" t="n">
        <f aca="false">E144-D144</f>
        <v>9</v>
      </c>
      <c r="K144" s="0" t="n">
        <f aca="false">C144</f>
        <v>65</v>
      </c>
      <c r="L144" s="0" t="n">
        <f aca="false">IF(F144="改装済み",1,0)</f>
        <v>0</v>
      </c>
      <c r="M144" s="0" t="n">
        <f aca="false">IF(A144="池尻大橋",1,0)</f>
        <v>0</v>
      </c>
      <c r="N144" s="0" t="n">
        <f aca="false">IF(A144="三軒茶屋",1,0)</f>
        <v>0</v>
      </c>
      <c r="O144" s="0" t="n">
        <f aca="false">IF(A144="駒沢大学",1,0)</f>
        <v>1</v>
      </c>
      <c r="P144" s="0" t="n">
        <f aca="false">IF(A144="桜新町",1,0)</f>
        <v>0</v>
      </c>
      <c r="Q144" s="0" t="n">
        <f aca="false">IF(A144="二子玉川",1,0)</f>
        <v>0</v>
      </c>
      <c r="R144" s="0" t="n">
        <f aca="false">IF(E144=2021,1,0)</f>
        <v>0</v>
      </c>
      <c r="S144" s="0" t="n">
        <f aca="false">IF(E144=2022,1,0)</f>
        <v>0</v>
      </c>
      <c r="T144" s="0" t="n">
        <f aca="false">IF(E144=2023,1,0)</f>
        <v>0</v>
      </c>
      <c r="U144" s="0" t="n">
        <f aca="false">IF(E144=2024,1,0)</f>
        <v>1</v>
      </c>
    </row>
    <row r="145" customFormat="false" ht="15" hidden="false" customHeight="false" outlineLevel="0" collapsed="false">
      <c r="A145" s="1" t="s">
        <v>11</v>
      </c>
      <c r="B145" s="0" t="n">
        <v>11</v>
      </c>
      <c r="C145" s="0" t="n">
        <v>70</v>
      </c>
      <c r="D145" s="0" t="n">
        <v>1996</v>
      </c>
      <c r="E145" s="0" t="n">
        <v>2024</v>
      </c>
      <c r="F145" s="1" t="s">
        <v>18</v>
      </c>
      <c r="G145" s="0" t="n">
        <v>98000000</v>
      </c>
      <c r="H145" s="0" t="n">
        <f aca="false">LN(G145/C145)</f>
        <v>14.1519827945855</v>
      </c>
      <c r="I145" s="0" t="n">
        <f aca="false">B145</f>
        <v>11</v>
      </c>
      <c r="J145" s="0" t="n">
        <f aca="false">E145-D145</f>
        <v>28</v>
      </c>
      <c r="K145" s="0" t="n">
        <f aca="false">C145</f>
        <v>70</v>
      </c>
      <c r="L145" s="0" t="n">
        <f aca="false">IF(F145="改装済み",1,0)</f>
        <v>1</v>
      </c>
      <c r="M145" s="0" t="n">
        <f aca="false">IF(A145="池尻大橋",1,0)</f>
        <v>0</v>
      </c>
      <c r="N145" s="0" t="n">
        <f aca="false">IF(A145="三軒茶屋",1,0)</f>
        <v>0</v>
      </c>
      <c r="O145" s="0" t="n">
        <f aca="false">IF(A145="駒沢大学",1,0)</f>
        <v>1</v>
      </c>
      <c r="P145" s="0" t="n">
        <f aca="false">IF(A145="桜新町",1,0)</f>
        <v>0</v>
      </c>
      <c r="Q145" s="0" t="n">
        <f aca="false">IF(A145="二子玉川",1,0)</f>
        <v>0</v>
      </c>
      <c r="R145" s="0" t="n">
        <f aca="false">IF(E145=2021,1,0)</f>
        <v>0</v>
      </c>
      <c r="S145" s="0" t="n">
        <f aca="false">IF(E145=2022,1,0)</f>
        <v>0</v>
      </c>
      <c r="T145" s="0" t="n">
        <f aca="false">IF(E145=2023,1,0)</f>
        <v>0</v>
      </c>
      <c r="U145" s="0" t="n">
        <f aca="false">IF(E145=2024,1,0)</f>
        <v>1</v>
      </c>
    </row>
    <row r="146" customFormat="false" ht="15" hidden="false" customHeight="false" outlineLevel="0" collapsed="false">
      <c r="A146" s="1" t="s">
        <v>11</v>
      </c>
      <c r="B146" s="0" t="n">
        <v>8</v>
      </c>
      <c r="C146" s="0" t="n">
        <v>75</v>
      </c>
      <c r="D146" s="0" t="n">
        <v>2019</v>
      </c>
      <c r="E146" s="0" t="n">
        <v>2024</v>
      </c>
      <c r="F146" s="1" t="s">
        <v>19</v>
      </c>
      <c r="G146" s="0" t="n">
        <v>140000000</v>
      </c>
      <c r="H146" s="0" t="n">
        <f aca="false">LN(G146/C146)</f>
        <v>14.4396648670373</v>
      </c>
      <c r="I146" s="0" t="n">
        <f aca="false">B146</f>
        <v>8</v>
      </c>
      <c r="J146" s="0" t="n">
        <f aca="false">E146-D146</f>
        <v>5</v>
      </c>
      <c r="K146" s="0" t="n">
        <f aca="false">C146</f>
        <v>75</v>
      </c>
      <c r="L146" s="0" t="n">
        <f aca="false">IF(F146="改装済み",1,0)</f>
        <v>0</v>
      </c>
      <c r="M146" s="0" t="n">
        <f aca="false">IF(A146="池尻大橋",1,0)</f>
        <v>0</v>
      </c>
      <c r="N146" s="0" t="n">
        <f aca="false">IF(A146="三軒茶屋",1,0)</f>
        <v>0</v>
      </c>
      <c r="O146" s="0" t="n">
        <f aca="false">IF(A146="駒沢大学",1,0)</f>
        <v>1</v>
      </c>
      <c r="P146" s="0" t="n">
        <f aca="false">IF(A146="桜新町",1,0)</f>
        <v>0</v>
      </c>
      <c r="Q146" s="0" t="n">
        <f aca="false">IF(A146="二子玉川",1,0)</f>
        <v>0</v>
      </c>
      <c r="R146" s="0" t="n">
        <f aca="false">IF(E146=2021,1,0)</f>
        <v>0</v>
      </c>
      <c r="S146" s="0" t="n">
        <f aca="false">IF(E146=2022,1,0)</f>
        <v>0</v>
      </c>
      <c r="T146" s="0" t="n">
        <f aca="false">IF(E146=2023,1,0)</f>
        <v>0</v>
      </c>
      <c r="U146" s="0" t="n">
        <f aca="false">IF(E146=2024,1,0)</f>
        <v>1</v>
      </c>
    </row>
    <row r="147" customFormat="false" ht="15" hidden="false" customHeight="false" outlineLevel="0" collapsed="false">
      <c r="A147" s="1" t="s">
        <v>11</v>
      </c>
      <c r="B147" s="0" t="n">
        <v>8</v>
      </c>
      <c r="C147" s="0" t="n">
        <v>70</v>
      </c>
      <c r="D147" s="0" t="n">
        <v>2019</v>
      </c>
      <c r="E147" s="0" t="n">
        <v>2024</v>
      </c>
      <c r="F147" s="1" t="s">
        <v>18</v>
      </c>
      <c r="G147" s="0" t="n">
        <v>130000000</v>
      </c>
      <c r="H147" s="0" t="n">
        <f aca="false">LN(G147/C147)</f>
        <v>14.4345497663705</v>
      </c>
      <c r="I147" s="0" t="n">
        <f aca="false">B147</f>
        <v>8</v>
      </c>
      <c r="J147" s="0" t="n">
        <f aca="false">E147-D147</f>
        <v>5</v>
      </c>
      <c r="K147" s="0" t="n">
        <f aca="false">C147</f>
        <v>70</v>
      </c>
      <c r="L147" s="0" t="n">
        <f aca="false">IF(F147="改装済み",1,0)</f>
        <v>1</v>
      </c>
      <c r="M147" s="0" t="n">
        <f aca="false">IF(A147="池尻大橋",1,0)</f>
        <v>0</v>
      </c>
      <c r="N147" s="0" t="n">
        <f aca="false">IF(A147="三軒茶屋",1,0)</f>
        <v>0</v>
      </c>
      <c r="O147" s="0" t="n">
        <f aca="false">IF(A147="駒沢大学",1,0)</f>
        <v>1</v>
      </c>
      <c r="P147" s="0" t="n">
        <f aca="false">IF(A147="桜新町",1,0)</f>
        <v>0</v>
      </c>
      <c r="Q147" s="0" t="n">
        <f aca="false">IF(A147="二子玉川",1,0)</f>
        <v>0</v>
      </c>
      <c r="R147" s="0" t="n">
        <f aca="false">IF(E147=2021,1,0)</f>
        <v>0</v>
      </c>
      <c r="S147" s="0" t="n">
        <f aca="false">IF(E147=2022,1,0)</f>
        <v>0</v>
      </c>
      <c r="T147" s="0" t="n">
        <f aca="false">IF(E147=2023,1,0)</f>
        <v>0</v>
      </c>
      <c r="U147" s="0" t="n">
        <f aca="false">IF(E147=2024,1,0)</f>
        <v>1</v>
      </c>
    </row>
    <row r="148" customFormat="false" ht="15" hidden="false" customHeight="false" outlineLevel="0" collapsed="false">
      <c r="A148" s="1" t="s">
        <v>11</v>
      </c>
      <c r="B148" s="0" t="n">
        <v>11</v>
      </c>
      <c r="C148" s="0" t="n">
        <v>70</v>
      </c>
      <c r="D148" s="0" t="n">
        <v>1996</v>
      </c>
      <c r="E148" s="0" t="n">
        <v>2024</v>
      </c>
      <c r="F148" s="1" t="s">
        <v>19</v>
      </c>
      <c r="G148" s="0" t="n">
        <v>83000000</v>
      </c>
      <c r="H148" s="0" t="n">
        <f aca="false">LN(G148/C148)</f>
        <v>13.9858559237115</v>
      </c>
      <c r="I148" s="0" t="n">
        <f aca="false">B148</f>
        <v>11</v>
      </c>
      <c r="J148" s="0" t="n">
        <f aca="false">E148-D148</f>
        <v>28</v>
      </c>
      <c r="K148" s="0" t="n">
        <f aca="false">C148</f>
        <v>70</v>
      </c>
      <c r="L148" s="0" t="n">
        <f aca="false">IF(F148="改装済み",1,0)</f>
        <v>0</v>
      </c>
      <c r="M148" s="0" t="n">
        <f aca="false">IF(A148="池尻大橋",1,0)</f>
        <v>0</v>
      </c>
      <c r="N148" s="0" t="n">
        <f aca="false">IF(A148="三軒茶屋",1,0)</f>
        <v>0</v>
      </c>
      <c r="O148" s="0" t="n">
        <f aca="false">IF(A148="駒沢大学",1,0)</f>
        <v>1</v>
      </c>
      <c r="P148" s="0" t="n">
        <f aca="false">IF(A148="桜新町",1,0)</f>
        <v>0</v>
      </c>
      <c r="Q148" s="0" t="n">
        <f aca="false">IF(A148="二子玉川",1,0)</f>
        <v>0</v>
      </c>
      <c r="R148" s="0" t="n">
        <f aca="false">IF(E148=2021,1,0)</f>
        <v>0</v>
      </c>
      <c r="S148" s="0" t="n">
        <f aca="false">IF(E148=2022,1,0)</f>
        <v>0</v>
      </c>
      <c r="T148" s="0" t="n">
        <f aca="false">IF(E148=2023,1,0)</f>
        <v>0</v>
      </c>
      <c r="U148" s="0" t="n">
        <f aca="false">IF(E148=2024,1,0)</f>
        <v>1</v>
      </c>
    </row>
    <row r="149" customFormat="false" ht="15" hidden="false" customHeight="false" outlineLevel="0" collapsed="false">
      <c r="A149" s="1" t="s">
        <v>11</v>
      </c>
      <c r="B149" s="0" t="n">
        <v>11</v>
      </c>
      <c r="C149" s="0" t="n">
        <v>75</v>
      </c>
      <c r="D149" s="0" t="n">
        <v>1979</v>
      </c>
      <c r="E149" s="0" t="n">
        <v>2024</v>
      </c>
      <c r="F149" s="1" t="s">
        <v>19</v>
      </c>
      <c r="G149" s="0" t="n">
        <v>58000000</v>
      </c>
      <c r="H149" s="0" t="n">
        <f aca="false">LN(G149/C149)</f>
        <v>13.5584654549744</v>
      </c>
      <c r="I149" s="0" t="n">
        <f aca="false">B149</f>
        <v>11</v>
      </c>
      <c r="J149" s="0" t="n">
        <f aca="false">E149-D149</f>
        <v>45</v>
      </c>
      <c r="K149" s="0" t="n">
        <f aca="false">C149</f>
        <v>75</v>
      </c>
      <c r="L149" s="0" t="n">
        <f aca="false">IF(F149="改装済み",1,0)</f>
        <v>0</v>
      </c>
      <c r="M149" s="0" t="n">
        <f aca="false">IF(A149="池尻大橋",1,0)</f>
        <v>0</v>
      </c>
      <c r="N149" s="0" t="n">
        <f aca="false">IF(A149="三軒茶屋",1,0)</f>
        <v>0</v>
      </c>
      <c r="O149" s="0" t="n">
        <f aca="false">IF(A149="駒沢大学",1,0)</f>
        <v>1</v>
      </c>
      <c r="P149" s="0" t="n">
        <f aca="false">IF(A149="桜新町",1,0)</f>
        <v>0</v>
      </c>
      <c r="Q149" s="0" t="n">
        <f aca="false">IF(A149="二子玉川",1,0)</f>
        <v>0</v>
      </c>
      <c r="R149" s="0" t="n">
        <f aca="false">IF(E149=2021,1,0)</f>
        <v>0</v>
      </c>
      <c r="S149" s="0" t="n">
        <f aca="false">IF(E149=2022,1,0)</f>
        <v>0</v>
      </c>
      <c r="T149" s="0" t="n">
        <f aca="false">IF(E149=2023,1,0)</f>
        <v>0</v>
      </c>
      <c r="U149" s="0" t="n">
        <f aca="false">IF(E149=2024,1,0)</f>
        <v>1</v>
      </c>
    </row>
    <row r="150" customFormat="false" ht="15" hidden="false" customHeight="false" outlineLevel="0" collapsed="false">
      <c r="A150" s="1" t="s">
        <v>11</v>
      </c>
      <c r="B150" s="0" t="n">
        <v>2</v>
      </c>
      <c r="C150" s="0" t="n">
        <v>65</v>
      </c>
      <c r="D150" s="0" t="n">
        <v>2015</v>
      </c>
      <c r="E150" s="0" t="n">
        <v>2024</v>
      </c>
      <c r="F150" s="1" t="s">
        <v>19</v>
      </c>
      <c r="G150" s="0" t="n">
        <v>120000000</v>
      </c>
      <c r="H150" s="0" t="n">
        <f aca="false">LN(G150/C150)</f>
        <v>14.4286150308507</v>
      </c>
      <c r="I150" s="0" t="n">
        <f aca="false">B150</f>
        <v>2</v>
      </c>
      <c r="J150" s="0" t="n">
        <f aca="false">E150-D150</f>
        <v>9</v>
      </c>
      <c r="K150" s="0" t="n">
        <f aca="false">C150</f>
        <v>65</v>
      </c>
      <c r="L150" s="0" t="n">
        <f aca="false">IF(F150="改装済み",1,0)</f>
        <v>0</v>
      </c>
      <c r="M150" s="0" t="n">
        <f aca="false">IF(A150="池尻大橋",1,0)</f>
        <v>0</v>
      </c>
      <c r="N150" s="0" t="n">
        <f aca="false">IF(A150="三軒茶屋",1,0)</f>
        <v>0</v>
      </c>
      <c r="O150" s="0" t="n">
        <f aca="false">IF(A150="駒沢大学",1,0)</f>
        <v>1</v>
      </c>
      <c r="P150" s="0" t="n">
        <f aca="false">IF(A150="桜新町",1,0)</f>
        <v>0</v>
      </c>
      <c r="Q150" s="0" t="n">
        <f aca="false">IF(A150="二子玉川",1,0)</f>
        <v>0</v>
      </c>
      <c r="R150" s="0" t="n">
        <f aca="false">IF(E150=2021,1,0)</f>
        <v>0</v>
      </c>
      <c r="S150" s="0" t="n">
        <f aca="false">IF(E150=2022,1,0)</f>
        <v>0</v>
      </c>
      <c r="T150" s="0" t="n">
        <f aca="false">IF(E150=2023,1,0)</f>
        <v>0</v>
      </c>
      <c r="U150" s="0" t="n">
        <f aca="false">IF(E150=2024,1,0)</f>
        <v>1</v>
      </c>
    </row>
    <row r="151" customFormat="false" ht="15" hidden="false" customHeight="false" outlineLevel="0" collapsed="false">
      <c r="A151" s="1" t="s">
        <v>11</v>
      </c>
      <c r="B151" s="0" t="n">
        <v>11</v>
      </c>
      <c r="C151" s="0" t="n">
        <v>65</v>
      </c>
      <c r="D151" s="0" t="n">
        <v>1979</v>
      </c>
      <c r="E151" s="0" t="n">
        <v>2023</v>
      </c>
      <c r="F151" s="1" t="s">
        <v>19</v>
      </c>
      <c r="G151" s="0" t="n">
        <v>42000000</v>
      </c>
      <c r="H151" s="0" t="n">
        <f aca="false">LN(G151/C151)</f>
        <v>13.378792906352</v>
      </c>
      <c r="I151" s="0" t="n">
        <f aca="false">B151</f>
        <v>11</v>
      </c>
      <c r="J151" s="0" t="n">
        <f aca="false">E151-D151</f>
        <v>44</v>
      </c>
      <c r="K151" s="0" t="n">
        <f aca="false">C151</f>
        <v>65</v>
      </c>
      <c r="L151" s="0" t="n">
        <f aca="false">IF(F151="改装済み",1,0)</f>
        <v>0</v>
      </c>
      <c r="M151" s="0" t="n">
        <f aca="false">IF(A151="池尻大橋",1,0)</f>
        <v>0</v>
      </c>
      <c r="N151" s="0" t="n">
        <f aca="false">IF(A151="三軒茶屋",1,0)</f>
        <v>0</v>
      </c>
      <c r="O151" s="0" t="n">
        <f aca="false">IF(A151="駒沢大学",1,0)</f>
        <v>1</v>
      </c>
      <c r="P151" s="0" t="n">
        <f aca="false">IF(A151="桜新町",1,0)</f>
        <v>0</v>
      </c>
      <c r="Q151" s="0" t="n">
        <f aca="false">IF(A151="二子玉川",1,0)</f>
        <v>0</v>
      </c>
      <c r="R151" s="0" t="n">
        <f aca="false">IF(E151=2021,1,0)</f>
        <v>0</v>
      </c>
      <c r="S151" s="0" t="n">
        <f aca="false">IF(E151=2022,1,0)</f>
        <v>0</v>
      </c>
      <c r="T151" s="0" t="n">
        <f aca="false">IF(E151=2023,1,0)</f>
        <v>1</v>
      </c>
      <c r="U151" s="0" t="n">
        <f aca="false">IF(E151=2024,1,0)</f>
        <v>0</v>
      </c>
    </row>
    <row r="152" customFormat="false" ht="15" hidden="false" customHeight="false" outlineLevel="0" collapsed="false">
      <c r="A152" s="1" t="s">
        <v>11</v>
      </c>
      <c r="B152" s="0" t="n">
        <v>16</v>
      </c>
      <c r="C152" s="0" t="n">
        <v>70</v>
      </c>
      <c r="D152" s="0" t="n">
        <v>2013</v>
      </c>
      <c r="E152" s="0" t="n">
        <v>2023</v>
      </c>
      <c r="F152" s="1" t="s">
        <v>19</v>
      </c>
      <c r="G152" s="0" t="n">
        <v>98000000</v>
      </c>
      <c r="H152" s="0" t="n">
        <f aca="false">LN(G152/C152)</f>
        <v>14.1519827945855</v>
      </c>
      <c r="I152" s="0" t="n">
        <f aca="false">B152</f>
        <v>16</v>
      </c>
      <c r="J152" s="0" t="n">
        <f aca="false">E152-D152</f>
        <v>10</v>
      </c>
      <c r="K152" s="0" t="n">
        <f aca="false">C152</f>
        <v>70</v>
      </c>
      <c r="L152" s="0" t="n">
        <f aca="false">IF(F152="改装済み",1,0)</f>
        <v>0</v>
      </c>
      <c r="M152" s="0" t="n">
        <f aca="false">IF(A152="池尻大橋",1,0)</f>
        <v>0</v>
      </c>
      <c r="N152" s="0" t="n">
        <f aca="false">IF(A152="三軒茶屋",1,0)</f>
        <v>0</v>
      </c>
      <c r="O152" s="0" t="n">
        <f aca="false">IF(A152="駒沢大学",1,0)</f>
        <v>1</v>
      </c>
      <c r="P152" s="0" t="n">
        <f aca="false">IF(A152="桜新町",1,0)</f>
        <v>0</v>
      </c>
      <c r="Q152" s="0" t="n">
        <f aca="false">IF(A152="二子玉川",1,0)</f>
        <v>0</v>
      </c>
      <c r="R152" s="0" t="n">
        <f aca="false">IF(E152=2021,1,0)</f>
        <v>0</v>
      </c>
      <c r="S152" s="0" t="n">
        <f aca="false">IF(E152=2022,1,0)</f>
        <v>0</v>
      </c>
      <c r="T152" s="0" t="n">
        <f aca="false">IF(E152=2023,1,0)</f>
        <v>1</v>
      </c>
      <c r="U152" s="0" t="n">
        <f aca="false">IF(E152=2024,1,0)</f>
        <v>0</v>
      </c>
    </row>
    <row r="153" customFormat="false" ht="15" hidden="false" customHeight="false" outlineLevel="0" collapsed="false">
      <c r="A153" s="1" t="s">
        <v>11</v>
      </c>
      <c r="B153" s="0" t="n">
        <v>2</v>
      </c>
      <c r="C153" s="0" t="n">
        <v>60</v>
      </c>
      <c r="D153" s="0" t="n">
        <v>2015</v>
      </c>
      <c r="E153" s="0" t="n">
        <v>2022</v>
      </c>
      <c r="F153" s="1" t="s">
        <v>19</v>
      </c>
      <c r="G153" s="0" t="n">
        <v>91000000</v>
      </c>
      <c r="H153" s="0" t="n">
        <f aca="false">LN(G153/C153)</f>
        <v>14.232025502259</v>
      </c>
      <c r="I153" s="0" t="n">
        <f aca="false">B153</f>
        <v>2</v>
      </c>
      <c r="J153" s="0" t="n">
        <f aca="false">E153-D153</f>
        <v>7</v>
      </c>
      <c r="K153" s="0" t="n">
        <f aca="false">C153</f>
        <v>60</v>
      </c>
      <c r="L153" s="0" t="n">
        <f aca="false">IF(F153="改装済み",1,0)</f>
        <v>0</v>
      </c>
      <c r="M153" s="0" t="n">
        <f aca="false">IF(A153="池尻大橋",1,0)</f>
        <v>0</v>
      </c>
      <c r="N153" s="0" t="n">
        <f aca="false">IF(A153="三軒茶屋",1,0)</f>
        <v>0</v>
      </c>
      <c r="O153" s="0" t="n">
        <f aca="false">IF(A153="駒沢大学",1,0)</f>
        <v>1</v>
      </c>
      <c r="P153" s="0" t="n">
        <f aca="false">IF(A153="桜新町",1,0)</f>
        <v>0</v>
      </c>
      <c r="Q153" s="0" t="n">
        <f aca="false">IF(A153="二子玉川",1,0)</f>
        <v>0</v>
      </c>
      <c r="R153" s="0" t="n">
        <f aca="false">IF(E153=2021,1,0)</f>
        <v>0</v>
      </c>
      <c r="S153" s="0" t="n">
        <f aca="false">IF(E153=2022,1,0)</f>
        <v>1</v>
      </c>
      <c r="T153" s="0" t="n">
        <f aca="false">IF(E153=2023,1,0)</f>
        <v>0</v>
      </c>
      <c r="U153" s="0" t="n">
        <f aca="false">IF(E153=2024,1,0)</f>
        <v>0</v>
      </c>
    </row>
    <row r="154" customFormat="false" ht="15" hidden="false" customHeight="false" outlineLevel="0" collapsed="false">
      <c r="A154" s="1" t="s">
        <v>11</v>
      </c>
      <c r="B154" s="0" t="n">
        <v>19</v>
      </c>
      <c r="C154" s="0" t="n">
        <v>90</v>
      </c>
      <c r="D154" s="0" t="n">
        <v>1997</v>
      </c>
      <c r="E154" s="0" t="n">
        <v>2022</v>
      </c>
      <c r="F154" s="1" t="s">
        <v>19</v>
      </c>
      <c r="G154" s="0" t="n">
        <v>77000000</v>
      </c>
      <c r="H154" s="0" t="n">
        <f aca="false">LN(G154/C154)</f>
        <v>13.6595063094877</v>
      </c>
      <c r="I154" s="0" t="n">
        <f aca="false">B154</f>
        <v>19</v>
      </c>
      <c r="J154" s="0" t="n">
        <f aca="false">E154-D154</f>
        <v>25</v>
      </c>
      <c r="K154" s="0" t="n">
        <f aca="false">C154</f>
        <v>90</v>
      </c>
      <c r="L154" s="0" t="n">
        <f aca="false">IF(F154="改装済み",1,0)</f>
        <v>0</v>
      </c>
      <c r="M154" s="0" t="n">
        <f aca="false">IF(A154="池尻大橋",1,0)</f>
        <v>0</v>
      </c>
      <c r="N154" s="0" t="n">
        <f aca="false">IF(A154="三軒茶屋",1,0)</f>
        <v>0</v>
      </c>
      <c r="O154" s="0" t="n">
        <f aca="false">IF(A154="駒沢大学",1,0)</f>
        <v>1</v>
      </c>
      <c r="P154" s="0" t="n">
        <f aca="false">IF(A154="桜新町",1,0)</f>
        <v>0</v>
      </c>
      <c r="Q154" s="0" t="n">
        <f aca="false">IF(A154="二子玉川",1,0)</f>
        <v>0</v>
      </c>
      <c r="R154" s="0" t="n">
        <f aca="false">IF(E154=2021,1,0)</f>
        <v>0</v>
      </c>
      <c r="S154" s="0" t="n">
        <f aca="false">IF(E154=2022,1,0)</f>
        <v>1</v>
      </c>
      <c r="T154" s="0" t="n">
        <f aca="false">IF(E154=2023,1,0)</f>
        <v>0</v>
      </c>
      <c r="U154" s="0" t="n">
        <f aca="false">IF(E154=2024,1,0)</f>
        <v>0</v>
      </c>
    </row>
    <row r="155" customFormat="false" ht="15" hidden="false" customHeight="false" outlineLevel="0" collapsed="false">
      <c r="A155" s="1" t="s">
        <v>11</v>
      </c>
      <c r="B155" s="0" t="n">
        <v>3</v>
      </c>
      <c r="C155" s="0" t="n">
        <v>50</v>
      </c>
      <c r="D155" s="0" t="n">
        <v>1999</v>
      </c>
      <c r="E155" s="0" t="n">
        <v>2022</v>
      </c>
      <c r="F155" s="1" t="s">
        <v>18</v>
      </c>
      <c r="G155" s="0" t="n">
        <v>55000000</v>
      </c>
      <c r="H155" s="0" t="n">
        <f aca="false">LN(G155/C155)</f>
        <v>13.9108207377686</v>
      </c>
      <c r="I155" s="0" t="n">
        <f aca="false">B155</f>
        <v>3</v>
      </c>
      <c r="J155" s="0" t="n">
        <f aca="false">E155-D155</f>
        <v>23</v>
      </c>
      <c r="K155" s="0" t="n">
        <f aca="false">C155</f>
        <v>50</v>
      </c>
      <c r="L155" s="0" t="n">
        <f aca="false">IF(F155="改装済み",1,0)</f>
        <v>1</v>
      </c>
      <c r="M155" s="0" t="n">
        <f aca="false">IF(A155="池尻大橋",1,0)</f>
        <v>0</v>
      </c>
      <c r="N155" s="0" t="n">
        <f aca="false">IF(A155="三軒茶屋",1,0)</f>
        <v>0</v>
      </c>
      <c r="O155" s="0" t="n">
        <f aca="false">IF(A155="駒沢大学",1,0)</f>
        <v>1</v>
      </c>
      <c r="P155" s="0" t="n">
        <f aca="false">IF(A155="桜新町",1,0)</f>
        <v>0</v>
      </c>
      <c r="Q155" s="0" t="n">
        <f aca="false">IF(A155="二子玉川",1,0)</f>
        <v>0</v>
      </c>
      <c r="R155" s="0" t="n">
        <f aca="false">IF(E155=2021,1,0)</f>
        <v>0</v>
      </c>
      <c r="S155" s="0" t="n">
        <f aca="false">IF(E155=2022,1,0)</f>
        <v>1</v>
      </c>
      <c r="T155" s="0" t="n">
        <f aca="false">IF(E155=2023,1,0)</f>
        <v>0</v>
      </c>
      <c r="U155" s="0" t="n">
        <f aca="false">IF(E155=2024,1,0)</f>
        <v>0</v>
      </c>
    </row>
    <row r="156" customFormat="false" ht="15" hidden="false" customHeight="false" outlineLevel="0" collapsed="false">
      <c r="A156" s="1" t="s">
        <v>11</v>
      </c>
      <c r="B156" s="0" t="n">
        <v>14</v>
      </c>
      <c r="C156" s="0" t="n">
        <v>50</v>
      </c>
      <c r="D156" s="0" t="n">
        <v>1989</v>
      </c>
      <c r="E156" s="0" t="n">
        <v>2022</v>
      </c>
      <c r="F156" s="1" t="s">
        <v>19</v>
      </c>
      <c r="G156" s="0" t="n">
        <v>45000000</v>
      </c>
      <c r="H156" s="0" t="n">
        <f aca="false">LN(G156/C156)</f>
        <v>13.7101500423064</v>
      </c>
      <c r="I156" s="0" t="n">
        <f aca="false">B156</f>
        <v>14</v>
      </c>
      <c r="J156" s="0" t="n">
        <f aca="false">E156-D156</f>
        <v>33</v>
      </c>
      <c r="K156" s="0" t="n">
        <f aca="false">C156</f>
        <v>50</v>
      </c>
      <c r="L156" s="0" t="n">
        <f aca="false">IF(F156="改装済み",1,0)</f>
        <v>0</v>
      </c>
      <c r="M156" s="0" t="n">
        <f aca="false">IF(A156="池尻大橋",1,0)</f>
        <v>0</v>
      </c>
      <c r="N156" s="0" t="n">
        <f aca="false">IF(A156="三軒茶屋",1,0)</f>
        <v>0</v>
      </c>
      <c r="O156" s="0" t="n">
        <f aca="false">IF(A156="駒沢大学",1,0)</f>
        <v>1</v>
      </c>
      <c r="P156" s="0" t="n">
        <f aca="false">IF(A156="桜新町",1,0)</f>
        <v>0</v>
      </c>
      <c r="Q156" s="0" t="n">
        <f aca="false">IF(A156="二子玉川",1,0)</f>
        <v>0</v>
      </c>
      <c r="R156" s="0" t="n">
        <f aca="false">IF(E156=2021,1,0)</f>
        <v>0</v>
      </c>
      <c r="S156" s="0" t="n">
        <f aca="false">IF(E156=2022,1,0)</f>
        <v>1</v>
      </c>
      <c r="T156" s="0" t="n">
        <f aca="false">IF(E156=2023,1,0)</f>
        <v>0</v>
      </c>
      <c r="U156" s="0" t="n">
        <f aca="false">IF(E156=2024,1,0)</f>
        <v>0</v>
      </c>
    </row>
    <row r="157" customFormat="false" ht="15" hidden="false" customHeight="false" outlineLevel="0" collapsed="false">
      <c r="A157" s="1" t="s">
        <v>11</v>
      </c>
      <c r="B157" s="0" t="n">
        <v>13</v>
      </c>
      <c r="C157" s="0" t="n">
        <v>80</v>
      </c>
      <c r="D157" s="0" t="n">
        <v>2009</v>
      </c>
      <c r="E157" s="0" t="n">
        <v>2022</v>
      </c>
      <c r="F157" s="1" t="s">
        <v>19</v>
      </c>
      <c r="G157" s="0" t="n">
        <v>54000000</v>
      </c>
      <c r="H157" s="0" t="n">
        <f aca="false">LN(G157/C157)</f>
        <v>13.4224679698547</v>
      </c>
      <c r="I157" s="0" t="n">
        <f aca="false">B157</f>
        <v>13</v>
      </c>
      <c r="J157" s="0" t="n">
        <f aca="false">E157-D157</f>
        <v>13</v>
      </c>
      <c r="K157" s="0" t="n">
        <f aca="false">C157</f>
        <v>80</v>
      </c>
      <c r="L157" s="0" t="n">
        <f aca="false">IF(F157="改装済み",1,0)</f>
        <v>0</v>
      </c>
      <c r="M157" s="0" t="n">
        <f aca="false">IF(A157="池尻大橋",1,0)</f>
        <v>0</v>
      </c>
      <c r="N157" s="0" t="n">
        <f aca="false">IF(A157="三軒茶屋",1,0)</f>
        <v>0</v>
      </c>
      <c r="O157" s="0" t="n">
        <f aca="false">IF(A157="駒沢大学",1,0)</f>
        <v>1</v>
      </c>
      <c r="P157" s="0" t="n">
        <f aca="false">IF(A157="桜新町",1,0)</f>
        <v>0</v>
      </c>
      <c r="Q157" s="0" t="n">
        <f aca="false">IF(A157="二子玉川",1,0)</f>
        <v>0</v>
      </c>
      <c r="R157" s="0" t="n">
        <f aca="false">IF(E157=2021,1,0)</f>
        <v>0</v>
      </c>
      <c r="S157" s="0" t="n">
        <f aca="false">IF(E157=2022,1,0)</f>
        <v>1</v>
      </c>
      <c r="T157" s="0" t="n">
        <f aca="false">IF(E157=2023,1,0)</f>
        <v>0</v>
      </c>
      <c r="U157" s="0" t="n">
        <f aca="false">IF(E157=2024,1,0)</f>
        <v>0</v>
      </c>
    </row>
    <row r="158" customFormat="false" ht="15" hidden="false" customHeight="false" outlineLevel="0" collapsed="false">
      <c r="A158" s="1" t="s">
        <v>11</v>
      </c>
      <c r="B158" s="0" t="n">
        <v>9</v>
      </c>
      <c r="C158" s="0" t="n">
        <v>65</v>
      </c>
      <c r="D158" s="0" t="n">
        <v>2014</v>
      </c>
      <c r="E158" s="0" t="n">
        <v>2022</v>
      </c>
      <c r="F158" s="1" t="s">
        <v>19</v>
      </c>
      <c r="G158" s="0" t="n">
        <v>60000000</v>
      </c>
      <c r="H158" s="0" t="n">
        <f aca="false">LN(G158/C158)</f>
        <v>13.7354678502907</v>
      </c>
      <c r="I158" s="0" t="n">
        <f aca="false">B158</f>
        <v>9</v>
      </c>
      <c r="J158" s="0" t="n">
        <f aca="false">E158-D158</f>
        <v>8</v>
      </c>
      <c r="K158" s="0" t="n">
        <f aca="false">C158</f>
        <v>65</v>
      </c>
      <c r="L158" s="0" t="n">
        <f aca="false">IF(F158="改装済み",1,0)</f>
        <v>0</v>
      </c>
      <c r="M158" s="0" t="n">
        <f aca="false">IF(A158="池尻大橋",1,0)</f>
        <v>0</v>
      </c>
      <c r="N158" s="0" t="n">
        <f aca="false">IF(A158="三軒茶屋",1,0)</f>
        <v>0</v>
      </c>
      <c r="O158" s="0" t="n">
        <f aca="false">IF(A158="駒沢大学",1,0)</f>
        <v>1</v>
      </c>
      <c r="P158" s="0" t="n">
        <f aca="false">IF(A158="桜新町",1,0)</f>
        <v>0</v>
      </c>
      <c r="Q158" s="0" t="n">
        <f aca="false">IF(A158="二子玉川",1,0)</f>
        <v>0</v>
      </c>
      <c r="R158" s="0" t="n">
        <f aca="false">IF(E158=2021,1,0)</f>
        <v>0</v>
      </c>
      <c r="S158" s="0" t="n">
        <f aca="false">IF(E158=2022,1,0)</f>
        <v>1</v>
      </c>
      <c r="T158" s="0" t="n">
        <f aca="false">IF(E158=2023,1,0)</f>
        <v>0</v>
      </c>
      <c r="U158" s="0" t="n">
        <f aca="false">IF(E158=2024,1,0)</f>
        <v>0</v>
      </c>
    </row>
    <row r="159" customFormat="false" ht="15" hidden="false" customHeight="false" outlineLevel="0" collapsed="false">
      <c r="A159" s="1" t="s">
        <v>11</v>
      </c>
      <c r="B159" s="0" t="n">
        <v>4</v>
      </c>
      <c r="C159" s="0" t="n">
        <v>50</v>
      </c>
      <c r="D159" s="0" t="n">
        <v>2018</v>
      </c>
      <c r="E159" s="0" t="n">
        <v>2022</v>
      </c>
      <c r="F159" s="1" t="s">
        <v>19</v>
      </c>
      <c r="G159" s="0" t="n">
        <v>80000000</v>
      </c>
      <c r="H159" s="0" t="n">
        <f aca="false">LN(G159/C159)</f>
        <v>14.28551418721</v>
      </c>
      <c r="I159" s="0" t="n">
        <f aca="false">B159</f>
        <v>4</v>
      </c>
      <c r="J159" s="0" t="n">
        <f aca="false">E159-D159</f>
        <v>4</v>
      </c>
      <c r="K159" s="0" t="n">
        <f aca="false">C159</f>
        <v>50</v>
      </c>
      <c r="L159" s="0" t="n">
        <f aca="false">IF(F159="改装済み",1,0)</f>
        <v>0</v>
      </c>
      <c r="M159" s="0" t="n">
        <f aca="false">IF(A159="池尻大橋",1,0)</f>
        <v>0</v>
      </c>
      <c r="N159" s="0" t="n">
        <f aca="false">IF(A159="三軒茶屋",1,0)</f>
        <v>0</v>
      </c>
      <c r="O159" s="0" t="n">
        <f aca="false">IF(A159="駒沢大学",1,0)</f>
        <v>1</v>
      </c>
      <c r="P159" s="0" t="n">
        <f aca="false">IF(A159="桜新町",1,0)</f>
        <v>0</v>
      </c>
      <c r="Q159" s="0" t="n">
        <f aca="false">IF(A159="二子玉川",1,0)</f>
        <v>0</v>
      </c>
      <c r="R159" s="0" t="n">
        <f aca="false">IF(E159=2021,1,0)</f>
        <v>0</v>
      </c>
      <c r="S159" s="0" t="n">
        <f aca="false">IF(E159=2022,1,0)</f>
        <v>1</v>
      </c>
      <c r="T159" s="0" t="n">
        <f aca="false">IF(E159=2023,1,0)</f>
        <v>0</v>
      </c>
      <c r="U159" s="0" t="n">
        <f aca="false">IF(E159=2024,1,0)</f>
        <v>0</v>
      </c>
    </row>
    <row r="160" customFormat="false" ht="15" hidden="false" customHeight="false" outlineLevel="0" collapsed="false">
      <c r="A160" s="1" t="s">
        <v>11</v>
      </c>
      <c r="B160" s="0" t="n">
        <v>4</v>
      </c>
      <c r="C160" s="0" t="n">
        <v>60</v>
      </c>
      <c r="D160" s="0" t="n">
        <v>2014</v>
      </c>
      <c r="E160" s="0" t="n">
        <v>2022</v>
      </c>
      <c r="F160" s="1" t="s">
        <v>19</v>
      </c>
      <c r="G160" s="0" t="n">
        <v>72000000</v>
      </c>
      <c r="H160" s="0" t="n">
        <f aca="false">LN(G160/C160)</f>
        <v>13.9978321147582</v>
      </c>
      <c r="I160" s="0" t="n">
        <f aca="false">B160</f>
        <v>4</v>
      </c>
      <c r="J160" s="0" t="n">
        <f aca="false">E160-D160</f>
        <v>8</v>
      </c>
      <c r="K160" s="0" t="n">
        <f aca="false">C160</f>
        <v>60</v>
      </c>
      <c r="L160" s="0" t="n">
        <f aca="false">IF(F160="改装済み",1,0)</f>
        <v>0</v>
      </c>
      <c r="M160" s="0" t="n">
        <f aca="false">IF(A160="池尻大橋",1,0)</f>
        <v>0</v>
      </c>
      <c r="N160" s="0" t="n">
        <f aca="false">IF(A160="三軒茶屋",1,0)</f>
        <v>0</v>
      </c>
      <c r="O160" s="0" t="n">
        <f aca="false">IF(A160="駒沢大学",1,0)</f>
        <v>1</v>
      </c>
      <c r="P160" s="0" t="n">
        <f aca="false">IF(A160="桜新町",1,0)</f>
        <v>0</v>
      </c>
      <c r="Q160" s="0" t="n">
        <f aca="false">IF(A160="二子玉川",1,0)</f>
        <v>0</v>
      </c>
      <c r="R160" s="0" t="n">
        <f aca="false">IF(E160=2021,1,0)</f>
        <v>0</v>
      </c>
      <c r="S160" s="0" t="n">
        <f aca="false">IF(E160=2022,1,0)</f>
        <v>1</v>
      </c>
      <c r="T160" s="0" t="n">
        <f aca="false">IF(E160=2023,1,0)</f>
        <v>0</v>
      </c>
      <c r="U160" s="0" t="n">
        <f aca="false">IF(E160=2024,1,0)</f>
        <v>0</v>
      </c>
    </row>
    <row r="161" customFormat="false" ht="15" hidden="false" customHeight="false" outlineLevel="0" collapsed="false">
      <c r="A161" s="1" t="s">
        <v>11</v>
      </c>
      <c r="B161" s="0" t="n">
        <v>3</v>
      </c>
      <c r="C161" s="0" t="n">
        <v>90</v>
      </c>
      <c r="D161" s="0" t="n">
        <v>2009</v>
      </c>
      <c r="E161" s="0" t="n">
        <v>2022</v>
      </c>
      <c r="F161" s="1" t="s">
        <v>19</v>
      </c>
      <c r="G161" s="0" t="n">
        <v>130000000</v>
      </c>
      <c r="H161" s="0" t="n">
        <f aca="false">LN(G161/C161)</f>
        <v>14.1832353380896</v>
      </c>
      <c r="I161" s="0" t="n">
        <f aca="false">B161</f>
        <v>3</v>
      </c>
      <c r="J161" s="0" t="n">
        <f aca="false">E161-D161</f>
        <v>13</v>
      </c>
      <c r="K161" s="0" t="n">
        <f aca="false">C161</f>
        <v>90</v>
      </c>
      <c r="L161" s="0" t="n">
        <f aca="false">IF(F161="改装済み",1,0)</f>
        <v>0</v>
      </c>
      <c r="M161" s="0" t="n">
        <f aca="false">IF(A161="池尻大橋",1,0)</f>
        <v>0</v>
      </c>
      <c r="N161" s="0" t="n">
        <f aca="false">IF(A161="三軒茶屋",1,0)</f>
        <v>0</v>
      </c>
      <c r="O161" s="0" t="n">
        <f aca="false">IF(A161="駒沢大学",1,0)</f>
        <v>1</v>
      </c>
      <c r="P161" s="0" t="n">
        <f aca="false">IF(A161="桜新町",1,0)</f>
        <v>0</v>
      </c>
      <c r="Q161" s="0" t="n">
        <f aca="false">IF(A161="二子玉川",1,0)</f>
        <v>0</v>
      </c>
      <c r="R161" s="0" t="n">
        <f aca="false">IF(E161=2021,1,0)</f>
        <v>0</v>
      </c>
      <c r="S161" s="0" t="n">
        <f aca="false">IF(E161=2022,1,0)</f>
        <v>1</v>
      </c>
      <c r="T161" s="0" t="n">
        <f aca="false">IF(E161=2023,1,0)</f>
        <v>0</v>
      </c>
      <c r="U161" s="0" t="n">
        <f aca="false">IF(E161=2024,1,0)</f>
        <v>0</v>
      </c>
    </row>
    <row r="162" customFormat="false" ht="15" hidden="false" customHeight="false" outlineLevel="0" collapsed="false">
      <c r="A162" s="1" t="s">
        <v>11</v>
      </c>
      <c r="B162" s="0" t="n">
        <v>2</v>
      </c>
      <c r="C162" s="0" t="n">
        <v>50</v>
      </c>
      <c r="D162" s="0" t="n">
        <v>2015</v>
      </c>
      <c r="E162" s="0" t="n">
        <v>2021</v>
      </c>
      <c r="F162" s="1" t="s">
        <v>19</v>
      </c>
      <c r="G162" s="0" t="n">
        <v>78000000</v>
      </c>
      <c r="H162" s="0" t="n">
        <f aca="false">LN(G162/C162)</f>
        <v>14.2601963792257</v>
      </c>
      <c r="I162" s="0" t="n">
        <f aca="false">B162</f>
        <v>2</v>
      </c>
      <c r="J162" s="0" t="n">
        <f aca="false">E162-D162</f>
        <v>6</v>
      </c>
      <c r="K162" s="0" t="n">
        <f aca="false">C162</f>
        <v>50</v>
      </c>
      <c r="L162" s="0" t="n">
        <f aca="false">IF(F162="改装済み",1,0)</f>
        <v>0</v>
      </c>
      <c r="M162" s="0" t="n">
        <f aca="false">IF(A162="池尻大橋",1,0)</f>
        <v>0</v>
      </c>
      <c r="N162" s="0" t="n">
        <f aca="false">IF(A162="三軒茶屋",1,0)</f>
        <v>0</v>
      </c>
      <c r="O162" s="0" t="n">
        <f aca="false">IF(A162="駒沢大学",1,0)</f>
        <v>1</v>
      </c>
      <c r="P162" s="0" t="n">
        <f aca="false">IF(A162="桜新町",1,0)</f>
        <v>0</v>
      </c>
      <c r="Q162" s="0" t="n">
        <f aca="false">IF(A162="二子玉川",1,0)</f>
        <v>0</v>
      </c>
      <c r="R162" s="0" t="n">
        <f aca="false">IF(E162=2021,1,0)</f>
        <v>1</v>
      </c>
      <c r="S162" s="0" t="n">
        <f aca="false">IF(E162=2022,1,0)</f>
        <v>0</v>
      </c>
      <c r="T162" s="0" t="n">
        <f aca="false">IF(E162=2023,1,0)</f>
        <v>0</v>
      </c>
      <c r="U162" s="0" t="n">
        <f aca="false">IF(E162=2024,1,0)</f>
        <v>0</v>
      </c>
    </row>
    <row r="163" customFormat="false" ht="15" hidden="false" customHeight="false" outlineLevel="0" collapsed="false">
      <c r="A163" s="1" t="s">
        <v>11</v>
      </c>
      <c r="B163" s="0" t="n">
        <v>19</v>
      </c>
      <c r="C163" s="0" t="n">
        <v>85</v>
      </c>
      <c r="D163" s="0" t="n">
        <v>1997</v>
      </c>
      <c r="E163" s="0" t="n">
        <v>2021</v>
      </c>
      <c r="F163" s="1" t="s">
        <v>18</v>
      </c>
      <c r="G163" s="0" t="n">
        <v>86000000</v>
      </c>
      <c r="H163" s="0" t="n">
        <f aca="false">LN(G163/C163)</f>
        <v>13.8272065977275</v>
      </c>
      <c r="I163" s="0" t="n">
        <f aca="false">B163</f>
        <v>19</v>
      </c>
      <c r="J163" s="0" t="n">
        <f aca="false">E163-D163</f>
        <v>24</v>
      </c>
      <c r="K163" s="0" t="n">
        <f aca="false">C163</f>
        <v>85</v>
      </c>
      <c r="L163" s="0" t="n">
        <f aca="false">IF(F163="改装済み",1,0)</f>
        <v>1</v>
      </c>
      <c r="M163" s="0" t="n">
        <f aca="false">IF(A163="池尻大橋",1,0)</f>
        <v>0</v>
      </c>
      <c r="N163" s="0" t="n">
        <f aca="false">IF(A163="三軒茶屋",1,0)</f>
        <v>0</v>
      </c>
      <c r="O163" s="0" t="n">
        <f aca="false">IF(A163="駒沢大学",1,0)</f>
        <v>1</v>
      </c>
      <c r="P163" s="0" t="n">
        <f aca="false">IF(A163="桜新町",1,0)</f>
        <v>0</v>
      </c>
      <c r="Q163" s="0" t="n">
        <f aca="false">IF(A163="二子玉川",1,0)</f>
        <v>0</v>
      </c>
      <c r="R163" s="0" t="n">
        <f aca="false">IF(E163=2021,1,0)</f>
        <v>1</v>
      </c>
      <c r="S163" s="0" t="n">
        <f aca="false">IF(E163=2022,1,0)</f>
        <v>0</v>
      </c>
      <c r="T163" s="0" t="n">
        <f aca="false">IF(E163=2023,1,0)</f>
        <v>0</v>
      </c>
      <c r="U163" s="0" t="n">
        <f aca="false">IF(E163=2024,1,0)</f>
        <v>0</v>
      </c>
    </row>
    <row r="164" customFormat="false" ht="15" hidden="false" customHeight="false" outlineLevel="0" collapsed="false">
      <c r="A164" s="1" t="s">
        <v>11</v>
      </c>
      <c r="B164" s="0" t="n">
        <v>19</v>
      </c>
      <c r="C164" s="0" t="n">
        <v>95</v>
      </c>
      <c r="D164" s="0" t="n">
        <v>1988</v>
      </c>
      <c r="E164" s="0" t="n">
        <v>2021</v>
      </c>
      <c r="F164" s="1" t="s">
        <v>18</v>
      </c>
      <c r="G164" s="0" t="n">
        <v>98000000</v>
      </c>
      <c r="H164" s="0" t="n">
        <f aca="false">LN(G164/C164)</f>
        <v>13.8466011450343</v>
      </c>
      <c r="I164" s="0" t="n">
        <f aca="false">B164</f>
        <v>19</v>
      </c>
      <c r="J164" s="0" t="n">
        <f aca="false">E164-D164</f>
        <v>33</v>
      </c>
      <c r="K164" s="0" t="n">
        <f aca="false">C164</f>
        <v>95</v>
      </c>
      <c r="L164" s="0" t="n">
        <f aca="false">IF(F164="改装済み",1,0)</f>
        <v>1</v>
      </c>
      <c r="M164" s="0" t="n">
        <f aca="false">IF(A164="池尻大橋",1,0)</f>
        <v>0</v>
      </c>
      <c r="N164" s="0" t="n">
        <f aca="false">IF(A164="三軒茶屋",1,0)</f>
        <v>0</v>
      </c>
      <c r="O164" s="0" t="n">
        <f aca="false">IF(A164="駒沢大学",1,0)</f>
        <v>1</v>
      </c>
      <c r="P164" s="0" t="n">
        <f aca="false">IF(A164="桜新町",1,0)</f>
        <v>0</v>
      </c>
      <c r="Q164" s="0" t="n">
        <f aca="false">IF(A164="二子玉川",1,0)</f>
        <v>0</v>
      </c>
      <c r="R164" s="0" t="n">
        <f aca="false">IF(E164=2021,1,0)</f>
        <v>1</v>
      </c>
      <c r="S164" s="0" t="n">
        <f aca="false">IF(E164=2022,1,0)</f>
        <v>0</v>
      </c>
      <c r="T164" s="0" t="n">
        <f aca="false">IF(E164=2023,1,0)</f>
        <v>0</v>
      </c>
      <c r="U164" s="0" t="n">
        <f aca="false">IF(E164=2024,1,0)</f>
        <v>0</v>
      </c>
    </row>
    <row r="165" customFormat="false" ht="15" hidden="false" customHeight="false" outlineLevel="0" collapsed="false">
      <c r="A165" s="1" t="s">
        <v>11</v>
      </c>
      <c r="B165" s="0" t="n">
        <v>16</v>
      </c>
      <c r="C165" s="0" t="n">
        <v>75</v>
      </c>
      <c r="D165" s="0" t="n">
        <v>2013</v>
      </c>
      <c r="E165" s="0" t="n">
        <v>2021</v>
      </c>
      <c r="F165" s="1" t="s">
        <v>19</v>
      </c>
      <c r="G165" s="0" t="n">
        <v>75000000</v>
      </c>
      <c r="H165" s="0" t="n">
        <f aca="false">LN(G165/C165)</f>
        <v>13.8155105579643</v>
      </c>
      <c r="I165" s="0" t="n">
        <f aca="false">B165</f>
        <v>16</v>
      </c>
      <c r="J165" s="0" t="n">
        <f aca="false">E165-D165</f>
        <v>8</v>
      </c>
      <c r="K165" s="0" t="n">
        <f aca="false">C165</f>
        <v>75</v>
      </c>
      <c r="L165" s="0" t="n">
        <f aca="false">IF(F165="改装済み",1,0)</f>
        <v>0</v>
      </c>
      <c r="M165" s="0" t="n">
        <f aca="false">IF(A165="池尻大橋",1,0)</f>
        <v>0</v>
      </c>
      <c r="N165" s="0" t="n">
        <f aca="false">IF(A165="三軒茶屋",1,0)</f>
        <v>0</v>
      </c>
      <c r="O165" s="0" t="n">
        <f aca="false">IF(A165="駒沢大学",1,0)</f>
        <v>1</v>
      </c>
      <c r="P165" s="0" t="n">
        <f aca="false">IF(A165="桜新町",1,0)</f>
        <v>0</v>
      </c>
      <c r="Q165" s="0" t="n">
        <f aca="false">IF(A165="二子玉川",1,0)</f>
        <v>0</v>
      </c>
      <c r="R165" s="0" t="n">
        <f aca="false">IF(E165=2021,1,0)</f>
        <v>1</v>
      </c>
      <c r="S165" s="0" t="n">
        <f aca="false">IF(E165=2022,1,0)</f>
        <v>0</v>
      </c>
      <c r="T165" s="0" t="n">
        <f aca="false">IF(E165=2023,1,0)</f>
        <v>0</v>
      </c>
      <c r="U165" s="0" t="n">
        <f aca="false">IF(E165=2024,1,0)</f>
        <v>0</v>
      </c>
    </row>
    <row r="166" customFormat="false" ht="15" hidden="false" customHeight="false" outlineLevel="0" collapsed="false">
      <c r="A166" s="1" t="s">
        <v>11</v>
      </c>
      <c r="B166" s="0" t="n">
        <v>7</v>
      </c>
      <c r="C166" s="0" t="n">
        <v>55</v>
      </c>
      <c r="D166" s="0" t="n">
        <v>1973</v>
      </c>
      <c r="E166" s="0" t="n">
        <v>2021</v>
      </c>
      <c r="F166" s="1" t="s">
        <v>19</v>
      </c>
      <c r="G166" s="0" t="n">
        <v>40000000</v>
      </c>
      <c r="H166" s="0" t="n">
        <f aca="false">LN(G166/C166)</f>
        <v>13.4970568268457</v>
      </c>
      <c r="I166" s="0" t="n">
        <f aca="false">B166</f>
        <v>7</v>
      </c>
      <c r="J166" s="0" t="n">
        <f aca="false">E166-D166</f>
        <v>48</v>
      </c>
      <c r="K166" s="0" t="n">
        <f aca="false">C166</f>
        <v>55</v>
      </c>
      <c r="L166" s="0" t="n">
        <f aca="false">IF(F166="改装済み",1,0)</f>
        <v>0</v>
      </c>
      <c r="M166" s="0" t="n">
        <f aca="false">IF(A166="池尻大橋",1,0)</f>
        <v>0</v>
      </c>
      <c r="N166" s="0" t="n">
        <f aca="false">IF(A166="三軒茶屋",1,0)</f>
        <v>0</v>
      </c>
      <c r="O166" s="0" t="n">
        <f aca="false">IF(A166="駒沢大学",1,0)</f>
        <v>1</v>
      </c>
      <c r="P166" s="0" t="n">
        <f aca="false">IF(A166="桜新町",1,0)</f>
        <v>0</v>
      </c>
      <c r="Q166" s="0" t="n">
        <f aca="false">IF(A166="二子玉川",1,0)</f>
        <v>0</v>
      </c>
      <c r="R166" s="0" t="n">
        <f aca="false">IF(E166=2021,1,0)</f>
        <v>1</v>
      </c>
      <c r="S166" s="0" t="n">
        <f aca="false">IF(E166=2022,1,0)</f>
        <v>0</v>
      </c>
      <c r="T166" s="0" t="n">
        <f aca="false">IF(E166=2023,1,0)</f>
        <v>0</v>
      </c>
      <c r="U166" s="0" t="n">
        <f aca="false">IF(E166=2024,1,0)</f>
        <v>0</v>
      </c>
    </row>
    <row r="167" customFormat="false" ht="15" hidden="false" customHeight="false" outlineLevel="0" collapsed="false">
      <c r="A167" s="1" t="s">
        <v>12</v>
      </c>
      <c r="B167" s="0" t="n">
        <v>9</v>
      </c>
      <c r="C167" s="0" t="n">
        <v>55</v>
      </c>
      <c r="D167" s="0" t="n">
        <v>2014</v>
      </c>
      <c r="E167" s="0" t="n">
        <v>2022</v>
      </c>
      <c r="F167" s="1" t="s">
        <v>19</v>
      </c>
      <c r="G167" s="0" t="n">
        <v>72000000</v>
      </c>
      <c r="H167" s="0" t="n">
        <f aca="false">LN(G167/C167)</f>
        <v>14.0848434917479</v>
      </c>
      <c r="I167" s="0" t="n">
        <f aca="false">B167</f>
        <v>9</v>
      </c>
      <c r="J167" s="0" t="n">
        <f aca="false">E167-D167</f>
        <v>8</v>
      </c>
      <c r="K167" s="0" t="n">
        <f aca="false">C167</f>
        <v>55</v>
      </c>
      <c r="L167" s="0" t="n">
        <f aca="false">IF(F167="改装済み",1,0)</f>
        <v>0</v>
      </c>
      <c r="M167" s="0" t="n">
        <f aca="false">IF(A167="池尻大橋",1,0)</f>
        <v>0</v>
      </c>
      <c r="N167" s="0" t="n">
        <f aca="false">IF(A167="三軒茶屋",1,0)</f>
        <v>0</v>
      </c>
      <c r="O167" s="0" t="n">
        <f aca="false">IF(A167="駒沢大学",1,0)</f>
        <v>0</v>
      </c>
      <c r="P167" s="0" t="n">
        <f aca="false">IF(A167="桜新町",1,0)</f>
        <v>1</v>
      </c>
      <c r="Q167" s="0" t="n">
        <f aca="false">IF(A167="二子玉川",1,0)</f>
        <v>0</v>
      </c>
      <c r="R167" s="0" t="n">
        <f aca="false">IF(E167=2021,1,0)</f>
        <v>0</v>
      </c>
      <c r="S167" s="0" t="n">
        <f aca="false">IF(E167=2022,1,0)</f>
        <v>1</v>
      </c>
      <c r="T167" s="0" t="n">
        <f aca="false">IF(E167=2023,1,0)</f>
        <v>0</v>
      </c>
      <c r="U167" s="0" t="n">
        <f aca="false">IF(E167=2024,1,0)</f>
        <v>0</v>
      </c>
    </row>
    <row r="168" customFormat="false" ht="15" hidden="false" customHeight="false" outlineLevel="0" collapsed="false">
      <c r="A168" s="1" t="s">
        <v>12</v>
      </c>
      <c r="B168" s="0" t="n">
        <v>9</v>
      </c>
      <c r="C168" s="0" t="n">
        <v>60</v>
      </c>
      <c r="D168" s="0" t="n">
        <v>2014</v>
      </c>
      <c r="E168" s="0" t="n">
        <v>2022</v>
      </c>
      <c r="F168" s="1" t="s">
        <v>19</v>
      </c>
      <c r="G168" s="0" t="n">
        <v>85000000</v>
      </c>
      <c r="H168" s="0" t="n">
        <f aca="false">LN(G168/C168)</f>
        <v>14.1638172522325</v>
      </c>
      <c r="I168" s="0" t="n">
        <f aca="false">B168</f>
        <v>9</v>
      </c>
      <c r="J168" s="0" t="n">
        <f aca="false">E168-D168</f>
        <v>8</v>
      </c>
      <c r="K168" s="0" t="n">
        <f aca="false">C168</f>
        <v>60</v>
      </c>
      <c r="L168" s="0" t="n">
        <f aca="false">IF(F168="改装済み",1,0)</f>
        <v>0</v>
      </c>
      <c r="M168" s="0" t="n">
        <f aca="false">IF(A168="池尻大橋",1,0)</f>
        <v>0</v>
      </c>
      <c r="N168" s="0" t="n">
        <f aca="false">IF(A168="三軒茶屋",1,0)</f>
        <v>0</v>
      </c>
      <c r="O168" s="0" t="n">
        <f aca="false">IF(A168="駒沢大学",1,0)</f>
        <v>0</v>
      </c>
      <c r="P168" s="0" t="n">
        <f aca="false">IF(A168="桜新町",1,0)</f>
        <v>1</v>
      </c>
      <c r="Q168" s="0" t="n">
        <f aca="false">IF(A168="二子玉川",1,0)</f>
        <v>0</v>
      </c>
      <c r="R168" s="0" t="n">
        <f aca="false">IF(E168=2021,1,0)</f>
        <v>0</v>
      </c>
      <c r="S168" s="0" t="n">
        <f aca="false">IF(E168=2022,1,0)</f>
        <v>1</v>
      </c>
      <c r="T168" s="0" t="n">
        <f aca="false">IF(E168=2023,1,0)</f>
        <v>0</v>
      </c>
      <c r="U168" s="0" t="n">
        <f aca="false">IF(E168=2024,1,0)</f>
        <v>0</v>
      </c>
    </row>
    <row r="169" customFormat="false" ht="15" hidden="false" customHeight="false" outlineLevel="0" collapsed="false">
      <c r="A169" s="1" t="s">
        <v>12</v>
      </c>
      <c r="B169" s="0" t="n">
        <v>18</v>
      </c>
      <c r="C169" s="0" t="n">
        <v>95</v>
      </c>
      <c r="D169" s="0" t="n">
        <v>2000</v>
      </c>
      <c r="E169" s="0" t="n">
        <v>2022</v>
      </c>
      <c r="F169" s="1" t="s">
        <v>18</v>
      </c>
      <c r="G169" s="0" t="n">
        <v>100000000</v>
      </c>
      <c r="H169" s="0" t="n">
        <f aca="false">LN(G169/C169)</f>
        <v>13.8668038523518</v>
      </c>
      <c r="I169" s="0" t="n">
        <f aca="false">B169</f>
        <v>18</v>
      </c>
      <c r="J169" s="0" t="n">
        <f aca="false">E169-D169</f>
        <v>22</v>
      </c>
      <c r="K169" s="0" t="n">
        <f aca="false">C169</f>
        <v>95</v>
      </c>
      <c r="L169" s="0" t="n">
        <f aca="false">IF(F169="改装済み",1,0)</f>
        <v>1</v>
      </c>
      <c r="M169" s="0" t="n">
        <f aca="false">IF(A169="池尻大橋",1,0)</f>
        <v>0</v>
      </c>
      <c r="N169" s="0" t="n">
        <f aca="false">IF(A169="三軒茶屋",1,0)</f>
        <v>0</v>
      </c>
      <c r="O169" s="0" t="n">
        <f aca="false">IF(A169="駒沢大学",1,0)</f>
        <v>0</v>
      </c>
      <c r="P169" s="0" t="n">
        <f aca="false">IF(A169="桜新町",1,0)</f>
        <v>1</v>
      </c>
      <c r="Q169" s="0" t="n">
        <f aca="false">IF(A169="二子玉川",1,0)</f>
        <v>0</v>
      </c>
      <c r="R169" s="0" t="n">
        <f aca="false">IF(E169=2021,1,0)</f>
        <v>0</v>
      </c>
      <c r="S169" s="0" t="n">
        <f aca="false">IF(E169=2022,1,0)</f>
        <v>1</v>
      </c>
      <c r="T169" s="0" t="n">
        <f aca="false">IF(E169=2023,1,0)</f>
        <v>0</v>
      </c>
      <c r="U169" s="0" t="n">
        <f aca="false">IF(E169=2024,1,0)</f>
        <v>0</v>
      </c>
    </row>
    <row r="170" customFormat="false" ht="15" hidden="false" customHeight="false" outlineLevel="0" collapsed="false">
      <c r="A170" s="1" t="s">
        <v>12</v>
      </c>
      <c r="B170" s="0" t="n">
        <v>7</v>
      </c>
      <c r="C170" s="0" t="n">
        <v>75</v>
      </c>
      <c r="D170" s="0" t="n">
        <v>2005</v>
      </c>
      <c r="E170" s="0" t="n">
        <v>2025</v>
      </c>
      <c r="F170" s="1" t="s">
        <v>19</v>
      </c>
      <c r="G170" s="0" t="n">
        <v>150000000</v>
      </c>
      <c r="H170" s="0" t="n">
        <f aca="false">LN(G170/C170)</f>
        <v>14.5086577385242</v>
      </c>
      <c r="I170" s="0" t="n">
        <f aca="false">B170</f>
        <v>7</v>
      </c>
      <c r="J170" s="0" t="n">
        <f aca="false">E170-D170</f>
        <v>20</v>
      </c>
      <c r="K170" s="0" t="n">
        <f aca="false">C170</f>
        <v>75</v>
      </c>
      <c r="L170" s="0" t="n">
        <f aca="false">IF(F170="改装済み",1,0)</f>
        <v>0</v>
      </c>
      <c r="M170" s="0" t="n">
        <f aca="false">IF(A170="池尻大橋",1,0)</f>
        <v>0</v>
      </c>
      <c r="N170" s="0" t="n">
        <f aca="false">IF(A170="三軒茶屋",1,0)</f>
        <v>0</v>
      </c>
      <c r="O170" s="0" t="n">
        <f aca="false">IF(A170="駒沢大学",1,0)</f>
        <v>0</v>
      </c>
      <c r="P170" s="0" t="n">
        <f aca="false">IF(A170="桜新町",1,0)</f>
        <v>1</v>
      </c>
      <c r="Q170" s="0" t="n">
        <f aca="false">IF(A170="二子玉川",1,0)</f>
        <v>0</v>
      </c>
      <c r="R170" s="0" t="n">
        <f aca="false">IF(E170=2021,1,0)</f>
        <v>0</v>
      </c>
      <c r="S170" s="0" t="n">
        <f aca="false">IF(E170=2022,1,0)</f>
        <v>0</v>
      </c>
      <c r="T170" s="0" t="n">
        <f aca="false">IF(E170=2023,1,0)</f>
        <v>0</v>
      </c>
      <c r="U170" s="0" t="n">
        <f aca="false">IF(E170=2024,1,0)</f>
        <v>0</v>
      </c>
    </row>
    <row r="171" customFormat="false" ht="15" hidden="false" customHeight="false" outlineLevel="0" collapsed="false">
      <c r="A171" s="1" t="s">
        <v>12</v>
      </c>
      <c r="B171" s="0" t="n">
        <v>11</v>
      </c>
      <c r="C171" s="0" t="n">
        <v>60</v>
      </c>
      <c r="D171" s="0" t="n">
        <v>1973</v>
      </c>
      <c r="E171" s="0" t="n">
        <v>2025</v>
      </c>
      <c r="F171" s="1" t="s">
        <v>18</v>
      </c>
      <c r="G171" s="0" t="n">
        <v>51000000</v>
      </c>
      <c r="H171" s="0" t="n">
        <f aca="false">LN(G171/C171)</f>
        <v>13.6529916284665</v>
      </c>
      <c r="I171" s="0" t="n">
        <f aca="false">B171</f>
        <v>11</v>
      </c>
      <c r="J171" s="0" t="n">
        <f aca="false">E171-D171</f>
        <v>52</v>
      </c>
      <c r="K171" s="0" t="n">
        <f aca="false">C171</f>
        <v>60</v>
      </c>
      <c r="L171" s="0" t="n">
        <f aca="false">IF(F171="改装済み",1,0)</f>
        <v>1</v>
      </c>
      <c r="M171" s="0" t="n">
        <f aca="false">IF(A171="池尻大橋",1,0)</f>
        <v>0</v>
      </c>
      <c r="N171" s="0" t="n">
        <f aca="false">IF(A171="三軒茶屋",1,0)</f>
        <v>0</v>
      </c>
      <c r="O171" s="0" t="n">
        <f aca="false">IF(A171="駒沢大学",1,0)</f>
        <v>0</v>
      </c>
      <c r="P171" s="0" t="n">
        <f aca="false">IF(A171="桜新町",1,0)</f>
        <v>1</v>
      </c>
      <c r="Q171" s="0" t="n">
        <f aca="false">IF(A171="二子玉川",1,0)</f>
        <v>0</v>
      </c>
      <c r="R171" s="0" t="n">
        <f aca="false">IF(E171=2021,1,0)</f>
        <v>0</v>
      </c>
      <c r="S171" s="0" t="n">
        <f aca="false">IF(E171=2022,1,0)</f>
        <v>0</v>
      </c>
      <c r="T171" s="0" t="n">
        <f aca="false">IF(E171=2023,1,0)</f>
        <v>0</v>
      </c>
      <c r="U171" s="0" t="n">
        <f aca="false">IF(E171=2024,1,0)</f>
        <v>0</v>
      </c>
    </row>
    <row r="172" customFormat="false" ht="15" hidden="false" customHeight="false" outlineLevel="0" collapsed="false">
      <c r="A172" s="1" t="s">
        <v>12</v>
      </c>
      <c r="B172" s="0" t="n">
        <v>2</v>
      </c>
      <c r="C172" s="0" t="n">
        <v>90</v>
      </c>
      <c r="D172" s="0" t="n">
        <v>2000</v>
      </c>
      <c r="E172" s="0" t="n">
        <v>2025</v>
      </c>
      <c r="F172" s="1" t="s">
        <v>18</v>
      </c>
      <c r="G172" s="0" t="n">
        <v>220000000</v>
      </c>
      <c r="H172" s="0" t="n">
        <f aca="false">LN(G172/C172)</f>
        <v>14.7093284339864</v>
      </c>
      <c r="I172" s="0" t="n">
        <f aca="false">B172</f>
        <v>2</v>
      </c>
      <c r="J172" s="0" t="n">
        <f aca="false">E172-D172</f>
        <v>25</v>
      </c>
      <c r="K172" s="0" t="n">
        <f aca="false">C172</f>
        <v>90</v>
      </c>
      <c r="L172" s="0" t="n">
        <f aca="false">IF(F172="改装済み",1,0)</f>
        <v>1</v>
      </c>
      <c r="M172" s="0" t="n">
        <f aca="false">IF(A172="池尻大橋",1,0)</f>
        <v>0</v>
      </c>
      <c r="N172" s="0" t="n">
        <f aca="false">IF(A172="三軒茶屋",1,0)</f>
        <v>0</v>
      </c>
      <c r="O172" s="0" t="n">
        <f aca="false">IF(A172="駒沢大学",1,0)</f>
        <v>0</v>
      </c>
      <c r="P172" s="0" t="n">
        <f aca="false">IF(A172="桜新町",1,0)</f>
        <v>1</v>
      </c>
      <c r="Q172" s="0" t="n">
        <f aca="false">IF(A172="二子玉川",1,0)</f>
        <v>0</v>
      </c>
      <c r="R172" s="0" t="n">
        <f aca="false">IF(E172=2021,1,0)</f>
        <v>0</v>
      </c>
      <c r="S172" s="0" t="n">
        <f aca="false">IF(E172=2022,1,0)</f>
        <v>0</v>
      </c>
      <c r="T172" s="0" t="n">
        <f aca="false">IF(E172=2023,1,0)</f>
        <v>0</v>
      </c>
      <c r="U172" s="0" t="n">
        <f aca="false">IF(E172=2024,1,0)</f>
        <v>0</v>
      </c>
    </row>
    <row r="173" customFormat="false" ht="15" hidden="false" customHeight="false" outlineLevel="0" collapsed="false">
      <c r="A173" s="1" t="s">
        <v>12</v>
      </c>
      <c r="B173" s="0" t="n">
        <v>6</v>
      </c>
      <c r="C173" s="0" t="n">
        <v>70</v>
      </c>
      <c r="D173" s="0" t="n">
        <v>2016</v>
      </c>
      <c r="E173" s="0" t="n">
        <v>2025</v>
      </c>
      <c r="F173" s="1" t="s">
        <v>19</v>
      </c>
      <c r="G173" s="0" t="n">
        <v>130000000</v>
      </c>
      <c r="H173" s="0" t="n">
        <f aca="false">LN(G173/C173)</f>
        <v>14.4345497663705</v>
      </c>
      <c r="I173" s="0" t="n">
        <f aca="false">B173</f>
        <v>6</v>
      </c>
      <c r="J173" s="0" t="n">
        <f aca="false">E173-D173</f>
        <v>9</v>
      </c>
      <c r="K173" s="0" t="n">
        <f aca="false">C173</f>
        <v>70</v>
      </c>
      <c r="L173" s="0" t="n">
        <f aca="false">IF(F173="改装済み",1,0)</f>
        <v>0</v>
      </c>
      <c r="M173" s="0" t="n">
        <f aca="false">IF(A173="池尻大橋",1,0)</f>
        <v>0</v>
      </c>
      <c r="N173" s="0" t="n">
        <f aca="false">IF(A173="三軒茶屋",1,0)</f>
        <v>0</v>
      </c>
      <c r="O173" s="0" t="n">
        <f aca="false">IF(A173="駒沢大学",1,0)</f>
        <v>0</v>
      </c>
      <c r="P173" s="0" t="n">
        <f aca="false">IF(A173="桜新町",1,0)</f>
        <v>1</v>
      </c>
      <c r="Q173" s="0" t="n">
        <f aca="false">IF(A173="二子玉川",1,0)</f>
        <v>0</v>
      </c>
      <c r="R173" s="0" t="n">
        <f aca="false">IF(E173=2021,1,0)</f>
        <v>0</v>
      </c>
      <c r="S173" s="0" t="n">
        <f aca="false">IF(E173=2022,1,0)</f>
        <v>0</v>
      </c>
      <c r="T173" s="0" t="n">
        <f aca="false">IF(E173=2023,1,0)</f>
        <v>0</v>
      </c>
      <c r="U173" s="0" t="n">
        <f aca="false">IF(E173=2024,1,0)</f>
        <v>0</v>
      </c>
    </row>
    <row r="174" customFormat="false" ht="15" hidden="false" customHeight="false" outlineLevel="0" collapsed="false">
      <c r="A174" s="1" t="s">
        <v>12</v>
      </c>
      <c r="B174" s="0" t="n">
        <v>6</v>
      </c>
      <c r="C174" s="0" t="n">
        <v>50</v>
      </c>
      <c r="D174" s="0" t="n">
        <v>2007</v>
      </c>
      <c r="E174" s="0" t="n">
        <v>2025</v>
      </c>
      <c r="F174" s="1" t="s">
        <v>19</v>
      </c>
      <c r="G174" s="0" t="n">
        <v>78000000</v>
      </c>
      <c r="H174" s="0" t="n">
        <f aca="false">LN(G174/C174)</f>
        <v>14.2601963792257</v>
      </c>
      <c r="I174" s="0" t="n">
        <f aca="false">B174</f>
        <v>6</v>
      </c>
      <c r="J174" s="0" t="n">
        <f aca="false">E174-D174</f>
        <v>18</v>
      </c>
      <c r="K174" s="0" t="n">
        <f aca="false">C174</f>
        <v>50</v>
      </c>
      <c r="L174" s="0" t="n">
        <f aca="false">IF(F174="改装済み",1,0)</f>
        <v>0</v>
      </c>
      <c r="M174" s="0" t="n">
        <f aca="false">IF(A174="池尻大橋",1,0)</f>
        <v>0</v>
      </c>
      <c r="N174" s="0" t="n">
        <f aca="false">IF(A174="三軒茶屋",1,0)</f>
        <v>0</v>
      </c>
      <c r="O174" s="0" t="n">
        <f aca="false">IF(A174="駒沢大学",1,0)</f>
        <v>0</v>
      </c>
      <c r="P174" s="0" t="n">
        <f aca="false">IF(A174="桜新町",1,0)</f>
        <v>1</v>
      </c>
      <c r="Q174" s="0" t="n">
        <f aca="false">IF(A174="二子玉川",1,0)</f>
        <v>0</v>
      </c>
      <c r="R174" s="0" t="n">
        <f aca="false">IF(E174=2021,1,0)</f>
        <v>0</v>
      </c>
      <c r="S174" s="0" t="n">
        <f aca="false">IF(E174=2022,1,0)</f>
        <v>0</v>
      </c>
      <c r="T174" s="0" t="n">
        <f aca="false">IF(E174=2023,1,0)</f>
        <v>0</v>
      </c>
      <c r="U174" s="0" t="n">
        <f aca="false">IF(E174=2024,1,0)</f>
        <v>0</v>
      </c>
    </row>
    <row r="175" customFormat="false" ht="15" hidden="false" customHeight="false" outlineLevel="0" collapsed="false">
      <c r="A175" s="1" t="s">
        <v>12</v>
      </c>
      <c r="B175" s="0" t="n">
        <v>8</v>
      </c>
      <c r="C175" s="0" t="n">
        <v>65</v>
      </c>
      <c r="D175" s="0" t="n">
        <v>2012</v>
      </c>
      <c r="E175" s="0" t="n">
        <v>2025</v>
      </c>
      <c r="F175" s="1" t="s">
        <v>18</v>
      </c>
      <c r="G175" s="0" t="n">
        <v>100000000</v>
      </c>
      <c r="H175" s="0" t="n">
        <f aca="false">LN(G175/C175)</f>
        <v>14.2462934740567</v>
      </c>
      <c r="I175" s="0" t="n">
        <f aca="false">B175</f>
        <v>8</v>
      </c>
      <c r="J175" s="0" t="n">
        <f aca="false">E175-D175</f>
        <v>13</v>
      </c>
      <c r="K175" s="0" t="n">
        <f aca="false">C175</f>
        <v>65</v>
      </c>
      <c r="L175" s="0" t="n">
        <f aca="false">IF(F175="改装済み",1,0)</f>
        <v>1</v>
      </c>
      <c r="M175" s="0" t="n">
        <f aca="false">IF(A175="池尻大橋",1,0)</f>
        <v>0</v>
      </c>
      <c r="N175" s="0" t="n">
        <f aca="false">IF(A175="三軒茶屋",1,0)</f>
        <v>0</v>
      </c>
      <c r="O175" s="0" t="n">
        <f aca="false">IF(A175="駒沢大学",1,0)</f>
        <v>0</v>
      </c>
      <c r="P175" s="0" t="n">
        <f aca="false">IF(A175="桜新町",1,0)</f>
        <v>1</v>
      </c>
      <c r="Q175" s="0" t="n">
        <f aca="false">IF(A175="二子玉川",1,0)</f>
        <v>0</v>
      </c>
      <c r="R175" s="0" t="n">
        <f aca="false">IF(E175=2021,1,0)</f>
        <v>0</v>
      </c>
      <c r="S175" s="0" t="n">
        <f aca="false">IF(E175=2022,1,0)</f>
        <v>0</v>
      </c>
      <c r="T175" s="0" t="n">
        <f aca="false">IF(E175=2023,1,0)</f>
        <v>0</v>
      </c>
      <c r="U175" s="0" t="n">
        <f aca="false">IF(E175=2024,1,0)</f>
        <v>0</v>
      </c>
    </row>
    <row r="176" customFormat="false" ht="15" hidden="false" customHeight="false" outlineLevel="0" collapsed="false">
      <c r="A176" s="1" t="s">
        <v>12</v>
      </c>
      <c r="B176" s="0" t="n">
        <v>3</v>
      </c>
      <c r="C176" s="0" t="n">
        <v>65</v>
      </c>
      <c r="D176" s="0" t="n">
        <v>2017</v>
      </c>
      <c r="E176" s="0" t="n">
        <v>2024</v>
      </c>
      <c r="F176" s="1" t="s">
        <v>19</v>
      </c>
      <c r="G176" s="0" t="n">
        <v>110000000</v>
      </c>
      <c r="H176" s="0" t="n">
        <f aca="false">LN(G176/C176)</f>
        <v>14.3416036538611</v>
      </c>
      <c r="I176" s="0" t="n">
        <f aca="false">B176</f>
        <v>3</v>
      </c>
      <c r="J176" s="0" t="n">
        <f aca="false">E176-D176</f>
        <v>7</v>
      </c>
      <c r="K176" s="0" t="n">
        <f aca="false">C176</f>
        <v>65</v>
      </c>
      <c r="L176" s="0" t="n">
        <f aca="false">IF(F176="改装済み",1,0)</f>
        <v>0</v>
      </c>
      <c r="M176" s="0" t="n">
        <f aca="false">IF(A176="池尻大橋",1,0)</f>
        <v>0</v>
      </c>
      <c r="N176" s="0" t="n">
        <f aca="false">IF(A176="三軒茶屋",1,0)</f>
        <v>0</v>
      </c>
      <c r="O176" s="0" t="n">
        <f aca="false">IF(A176="駒沢大学",1,0)</f>
        <v>0</v>
      </c>
      <c r="P176" s="0" t="n">
        <f aca="false">IF(A176="桜新町",1,0)</f>
        <v>1</v>
      </c>
      <c r="Q176" s="0" t="n">
        <f aca="false">IF(A176="二子玉川",1,0)</f>
        <v>0</v>
      </c>
      <c r="R176" s="0" t="n">
        <f aca="false">IF(E176=2021,1,0)</f>
        <v>0</v>
      </c>
      <c r="S176" s="0" t="n">
        <f aca="false">IF(E176=2022,1,0)</f>
        <v>0</v>
      </c>
      <c r="T176" s="0" t="n">
        <f aca="false">IF(E176=2023,1,0)</f>
        <v>0</v>
      </c>
      <c r="U176" s="0" t="n">
        <f aca="false">IF(E176=2024,1,0)</f>
        <v>1</v>
      </c>
    </row>
    <row r="177" customFormat="false" ht="15" hidden="false" customHeight="false" outlineLevel="0" collapsed="false">
      <c r="A177" s="1" t="s">
        <v>12</v>
      </c>
      <c r="B177" s="0" t="n">
        <v>8</v>
      </c>
      <c r="C177" s="0" t="n">
        <v>70</v>
      </c>
      <c r="D177" s="0" t="n">
        <v>2018</v>
      </c>
      <c r="E177" s="0" t="n">
        <v>2024</v>
      </c>
      <c r="F177" s="1" t="s">
        <v>19</v>
      </c>
      <c r="G177" s="0" t="n">
        <v>110000000</v>
      </c>
      <c r="H177" s="0" t="n">
        <f aca="false">LN(G177/C177)</f>
        <v>14.2674956817073</v>
      </c>
      <c r="I177" s="0" t="n">
        <f aca="false">B177</f>
        <v>8</v>
      </c>
      <c r="J177" s="0" t="n">
        <f aca="false">E177-D177</f>
        <v>6</v>
      </c>
      <c r="K177" s="0" t="n">
        <f aca="false">C177</f>
        <v>70</v>
      </c>
      <c r="L177" s="0" t="n">
        <f aca="false">IF(F177="改装済み",1,0)</f>
        <v>0</v>
      </c>
      <c r="M177" s="0" t="n">
        <f aca="false">IF(A177="池尻大橋",1,0)</f>
        <v>0</v>
      </c>
      <c r="N177" s="0" t="n">
        <f aca="false">IF(A177="三軒茶屋",1,0)</f>
        <v>0</v>
      </c>
      <c r="O177" s="0" t="n">
        <f aca="false">IF(A177="駒沢大学",1,0)</f>
        <v>0</v>
      </c>
      <c r="P177" s="0" t="n">
        <f aca="false">IF(A177="桜新町",1,0)</f>
        <v>1</v>
      </c>
      <c r="Q177" s="0" t="n">
        <f aca="false">IF(A177="二子玉川",1,0)</f>
        <v>0</v>
      </c>
      <c r="R177" s="0" t="n">
        <f aca="false">IF(E177=2021,1,0)</f>
        <v>0</v>
      </c>
      <c r="S177" s="0" t="n">
        <f aca="false">IF(E177=2022,1,0)</f>
        <v>0</v>
      </c>
      <c r="T177" s="0" t="n">
        <f aca="false">IF(E177=2023,1,0)</f>
        <v>0</v>
      </c>
      <c r="U177" s="0" t="n">
        <f aca="false">IF(E177=2024,1,0)</f>
        <v>1</v>
      </c>
    </row>
    <row r="178" customFormat="false" ht="15" hidden="false" customHeight="false" outlineLevel="0" collapsed="false">
      <c r="A178" s="1" t="s">
        <v>12</v>
      </c>
      <c r="B178" s="0" t="n">
        <v>4</v>
      </c>
      <c r="C178" s="0" t="n">
        <v>70</v>
      </c>
      <c r="D178" s="0" t="n">
        <v>2016</v>
      </c>
      <c r="E178" s="0" t="n">
        <v>2024</v>
      </c>
      <c r="F178" s="1" t="s">
        <v>19</v>
      </c>
      <c r="G178" s="0" t="n">
        <v>74000000</v>
      </c>
      <c r="H178" s="0" t="n">
        <f aca="false">LN(G178/C178)</f>
        <v>13.8710804091191</v>
      </c>
      <c r="I178" s="0" t="n">
        <f aca="false">B178</f>
        <v>4</v>
      </c>
      <c r="J178" s="0" t="n">
        <f aca="false">E178-D178</f>
        <v>8</v>
      </c>
      <c r="K178" s="0" t="n">
        <f aca="false">C178</f>
        <v>70</v>
      </c>
      <c r="L178" s="0" t="n">
        <f aca="false">IF(F178="改装済み",1,0)</f>
        <v>0</v>
      </c>
      <c r="M178" s="0" t="n">
        <f aca="false">IF(A178="池尻大橋",1,0)</f>
        <v>0</v>
      </c>
      <c r="N178" s="0" t="n">
        <f aca="false">IF(A178="三軒茶屋",1,0)</f>
        <v>0</v>
      </c>
      <c r="O178" s="0" t="n">
        <f aca="false">IF(A178="駒沢大学",1,0)</f>
        <v>0</v>
      </c>
      <c r="P178" s="0" t="n">
        <f aca="false">IF(A178="桜新町",1,0)</f>
        <v>1</v>
      </c>
      <c r="Q178" s="0" t="n">
        <f aca="false">IF(A178="二子玉川",1,0)</f>
        <v>0</v>
      </c>
      <c r="R178" s="0" t="n">
        <f aca="false">IF(E178=2021,1,0)</f>
        <v>0</v>
      </c>
      <c r="S178" s="0" t="n">
        <f aca="false">IF(E178=2022,1,0)</f>
        <v>0</v>
      </c>
      <c r="T178" s="0" t="n">
        <f aca="false">IF(E178=2023,1,0)</f>
        <v>0</v>
      </c>
      <c r="U178" s="0" t="n">
        <f aca="false">IF(E178=2024,1,0)</f>
        <v>1</v>
      </c>
    </row>
    <row r="179" customFormat="false" ht="15" hidden="false" customHeight="false" outlineLevel="0" collapsed="false">
      <c r="A179" s="1" t="s">
        <v>12</v>
      </c>
      <c r="B179" s="0" t="n">
        <v>6</v>
      </c>
      <c r="C179" s="0" t="n">
        <v>55</v>
      </c>
      <c r="D179" s="0" t="n">
        <v>2016</v>
      </c>
      <c r="E179" s="0" t="n">
        <v>2023</v>
      </c>
      <c r="F179" s="1" t="s">
        <v>19</v>
      </c>
      <c r="G179" s="0" t="n">
        <v>95000000</v>
      </c>
      <c r="H179" s="0" t="n">
        <f aca="false">LN(G179/C179)</f>
        <v>14.3620542643323</v>
      </c>
      <c r="I179" s="0" t="n">
        <f aca="false">B179</f>
        <v>6</v>
      </c>
      <c r="J179" s="0" t="n">
        <f aca="false">E179-D179</f>
        <v>7</v>
      </c>
      <c r="K179" s="0" t="n">
        <f aca="false">C179</f>
        <v>55</v>
      </c>
      <c r="L179" s="0" t="n">
        <f aca="false">IF(F179="改装済み",1,0)</f>
        <v>0</v>
      </c>
      <c r="M179" s="0" t="n">
        <f aca="false">IF(A179="池尻大橋",1,0)</f>
        <v>0</v>
      </c>
      <c r="N179" s="0" t="n">
        <f aca="false">IF(A179="三軒茶屋",1,0)</f>
        <v>0</v>
      </c>
      <c r="O179" s="0" t="n">
        <f aca="false">IF(A179="駒沢大学",1,0)</f>
        <v>0</v>
      </c>
      <c r="P179" s="0" t="n">
        <f aca="false">IF(A179="桜新町",1,0)</f>
        <v>1</v>
      </c>
      <c r="Q179" s="0" t="n">
        <f aca="false">IF(A179="二子玉川",1,0)</f>
        <v>0</v>
      </c>
      <c r="R179" s="0" t="n">
        <f aca="false">IF(E179=2021,1,0)</f>
        <v>0</v>
      </c>
      <c r="S179" s="0" t="n">
        <f aca="false">IF(E179=2022,1,0)</f>
        <v>0</v>
      </c>
      <c r="T179" s="0" t="n">
        <f aca="false">IF(E179=2023,1,0)</f>
        <v>1</v>
      </c>
      <c r="U179" s="0" t="n">
        <f aca="false">IF(E179=2024,1,0)</f>
        <v>0</v>
      </c>
    </row>
    <row r="180" customFormat="false" ht="15" hidden="false" customHeight="false" outlineLevel="0" collapsed="false">
      <c r="A180" s="1" t="s">
        <v>12</v>
      </c>
      <c r="B180" s="0" t="n">
        <v>5</v>
      </c>
      <c r="C180" s="0" t="n">
        <v>70</v>
      </c>
      <c r="D180" s="0" t="n">
        <v>2014</v>
      </c>
      <c r="E180" s="0" t="n">
        <v>2023</v>
      </c>
      <c r="F180" s="1" t="s">
        <v>19</v>
      </c>
      <c r="G180" s="0" t="n">
        <v>110000000</v>
      </c>
      <c r="H180" s="0" t="n">
        <f aca="false">LN(G180/C180)</f>
        <v>14.2674956817073</v>
      </c>
      <c r="I180" s="0" t="n">
        <f aca="false">B180</f>
        <v>5</v>
      </c>
      <c r="J180" s="0" t="n">
        <f aca="false">E180-D180</f>
        <v>9</v>
      </c>
      <c r="K180" s="0" t="n">
        <f aca="false">C180</f>
        <v>70</v>
      </c>
      <c r="L180" s="0" t="n">
        <f aca="false">IF(F180="改装済み",1,0)</f>
        <v>0</v>
      </c>
      <c r="M180" s="0" t="n">
        <f aca="false">IF(A180="池尻大橋",1,0)</f>
        <v>0</v>
      </c>
      <c r="N180" s="0" t="n">
        <f aca="false">IF(A180="三軒茶屋",1,0)</f>
        <v>0</v>
      </c>
      <c r="O180" s="0" t="n">
        <f aca="false">IF(A180="駒沢大学",1,0)</f>
        <v>0</v>
      </c>
      <c r="P180" s="0" t="n">
        <f aca="false">IF(A180="桜新町",1,0)</f>
        <v>1</v>
      </c>
      <c r="Q180" s="0" t="n">
        <f aca="false">IF(A180="二子玉川",1,0)</f>
        <v>0</v>
      </c>
      <c r="R180" s="0" t="n">
        <f aca="false">IF(E180=2021,1,0)</f>
        <v>0</v>
      </c>
      <c r="S180" s="0" t="n">
        <f aca="false">IF(E180=2022,1,0)</f>
        <v>0</v>
      </c>
      <c r="T180" s="0" t="n">
        <f aca="false">IF(E180=2023,1,0)</f>
        <v>1</v>
      </c>
      <c r="U180" s="0" t="n">
        <f aca="false">IF(E180=2024,1,0)</f>
        <v>0</v>
      </c>
    </row>
    <row r="181" customFormat="false" ht="15" hidden="false" customHeight="false" outlineLevel="0" collapsed="false">
      <c r="A181" s="1" t="s">
        <v>12</v>
      </c>
      <c r="B181" s="0" t="n">
        <v>6</v>
      </c>
      <c r="C181" s="0" t="n">
        <v>70</v>
      </c>
      <c r="D181" s="0" t="n">
        <v>2002</v>
      </c>
      <c r="E181" s="0" t="n">
        <v>2022</v>
      </c>
      <c r="F181" s="1" t="s">
        <v>18</v>
      </c>
      <c r="G181" s="0" t="n">
        <v>83000000</v>
      </c>
      <c r="H181" s="0" t="n">
        <f aca="false">LN(G181/C181)</f>
        <v>13.9858559237115</v>
      </c>
      <c r="I181" s="0" t="n">
        <f aca="false">B181</f>
        <v>6</v>
      </c>
      <c r="J181" s="0" t="n">
        <f aca="false">E181-D181</f>
        <v>20</v>
      </c>
      <c r="K181" s="0" t="n">
        <f aca="false">C181</f>
        <v>70</v>
      </c>
      <c r="L181" s="0" t="n">
        <f aca="false">IF(F181="改装済み",1,0)</f>
        <v>1</v>
      </c>
      <c r="M181" s="0" t="n">
        <f aca="false">IF(A181="池尻大橋",1,0)</f>
        <v>0</v>
      </c>
      <c r="N181" s="0" t="n">
        <f aca="false">IF(A181="三軒茶屋",1,0)</f>
        <v>0</v>
      </c>
      <c r="O181" s="0" t="n">
        <f aca="false">IF(A181="駒沢大学",1,0)</f>
        <v>0</v>
      </c>
      <c r="P181" s="0" t="n">
        <f aca="false">IF(A181="桜新町",1,0)</f>
        <v>1</v>
      </c>
      <c r="Q181" s="0" t="n">
        <f aca="false">IF(A181="二子玉川",1,0)</f>
        <v>0</v>
      </c>
      <c r="R181" s="0" t="n">
        <f aca="false">IF(E181=2021,1,0)</f>
        <v>0</v>
      </c>
      <c r="S181" s="0" t="n">
        <f aca="false">IF(E181=2022,1,0)</f>
        <v>1</v>
      </c>
      <c r="T181" s="0" t="n">
        <f aca="false">IF(E181=2023,1,0)</f>
        <v>0</v>
      </c>
      <c r="U181" s="0" t="n">
        <f aca="false">IF(E181=2024,1,0)</f>
        <v>0</v>
      </c>
    </row>
    <row r="182" customFormat="false" ht="15" hidden="false" customHeight="false" outlineLevel="0" collapsed="false">
      <c r="A182" s="1" t="s">
        <v>12</v>
      </c>
      <c r="B182" s="0" t="n">
        <v>4</v>
      </c>
      <c r="C182" s="0" t="n">
        <v>70</v>
      </c>
      <c r="D182" s="0" t="n">
        <v>2014</v>
      </c>
      <c r="E182" s="0" t="n">
        <v>2022</v>
      </c>
      <c r="F182" s="1" t="s">
        <v>19</v>
      </c>
      <c r="G182" s="0" t="n">
        <v>100000000</v>
      </c>
      <c r="H182" s="0" t="n">
        <f aca="false">LN(G182/C182)</f>
        <v>14.172185501903</v>
      </c>
      <c r="I182" s="0" t="n">
        <f aca="false">B182</f>
        <v>4</v>
      </c>
      <c r="J182" s="0" t="n">
        <f aca="false">E182-D182</f>
        <v>8</v>
      </c>
      <c r="K182" s="0" t="n">
        <f aca="false">C182</f>
        <v>70</v>
      </c>
      <c r="L182" s="0" t="n">
        <f aca="false">IF(F182="改装済み",1,0)</f>
        <v>0</v>
      </c>
      <c r="M182" s="0" t="n">
        <f aca="false">IF(A182="池尻大橋",1,0)</f>
        <v>0</v>
      </c>
      <c r="N182" s="0" t="n">
        <f aca="false">IF(A182="三軒茶屋",1,0)</f>
        <v>0</v>
      </c>
      <c r="O182" s="0" t="n">
        <f aca="false">IF(A182="駒沢大学",1,0)</f>
        <v>0</v>
      </c>
      <c r="P182" s="0" t="n">
        <f aca="false">IF(A182="桜新町",1,0)</f>
        <v>1</v>
      </c>
      <c r="Q182" s="0" t="n">
        <f aca="false">IF(A182="二子玉川",1,0)</f>
        <v>0</v>
      </c>
      <c r="R182" s="0" t="n">
        <f aca="false">IF(E182=2021,1,0)</f>
        <v>0</v>
      </c>
      <c r="S182" s="0" t="n">
        <f aca="false">IF(E182=2022,1,0)</f>
        <v>1</v>
      </c>
      <c r="T182" s="0" t="n">
        <f aca="false">IF(E182=2023,1,0)</f>
        <v>0</v>
      </c>
      <c r="U182" s="0" t="n">
        <f aca="false">IF(E182=2024,1,0)</f>
        <v>0</v>
      </c>
    </row>
    <row r="183" customFormat="false" ht="15" hidden="false" customHeight="false" outlineLevel="0" collapsed="false">
      <c r="A183" s="1" t="s">
        <v>12</v>
      </c>
      <c r="B183" s="0" t="n">
        <v>5</v>
      </c>
      <c r="C183" s="0" t="n">
        <v>75</v>
      </c>
      <c r="D183" s="0" t="n">
        <v>2005</v>
      </c>
      <c r="E183" s="0" t="n">
        <v>2022</v>
      </c>
      <c r="F183" s="1" t="s">
        <v>19</v>
      </c>
      <c r="G183" s="0" t="n">
        <v>92000000</v>
      </c>
      <c r="H183" s="0" t="n">
        <f aca="false">LN(G183/C183)</f>
        <v>14.019811021477</v>
      </c>
      <c r="I183" s="0" t="n">
        <f aca="false">B183</f>
        <v>5</v>
      </c>
      <c r="J183" s="0" t="n">
        <f aca="false">E183-D183</f>
        <v>17</v>
      </c>
      <c r="K183" s="0" t="n">
        <f aca="false">C183</f>
        <v>75</v>
      </c>
      <c r="L183" s="0" t="n">
        <f aca="false">IF(F183="改装済み",1,0)</f>
        <v>0</v>
      </c>
      <c r="M183" s="0" t="n">
        <f aca="false">IF(A183="池尻大橋",1,0)</f>
        <v>0</v>
      </c>
      <c r="N183" s="0" t="n">
        <f aca="false">IF(A183="三軒茶屋",1,0)</f>
        <v>0</v>
      </c>
      <c r="O183" s="0" t="n">
        <f aca="false">IF(A183="駒沢大学",1,0)</f>
        <v>0</v>
      </c>
      <c r="P183" s="0" t="n">
        <f aca="false">IF(A183="桜新町",1,0)</f>
        <v>1</v>
      </c>
      <c r="Q183" s="0" t="n">
        <f aca="false">IF(A183="二子玉川",1,0)</f>
        <v>0</v>
      </c>
      <c r="R183" s="0" t="n">
        <f aca="false">IF(E183=2021,1,0)</f>
        <v>0</v>
      </c>
      <c r="S183" s="0" t="n">
        <f aca="false">IF(E183=2022,1,0)</f>
        <v>1</v>
      </c>
      <c r="T183" s="0" t="n">
        <f aca="false">IF(E183=2023,1,0)</f>
        <v>0</v>
      </c>
      <c r="U183" s="0" t="n">
        <f aca="false">IF(E183=2024,1,0)</f>
        <v>0</v>
      </c>
    </row>
    <row r="184" customFormat="false" ht="15" hidden="false" customHeight="false" outlineLevel="0" collapsed="false">
      <c r="A184" s="1" t="s">
        <v>12</v>
      </c>
      <c r="B184" s="0" t="n">
        <v>6</v>
      </c>
      <c r="C184" s="0" t="n">
        <v>55</v>
      </c>
      <c r="D184" s="0" t="n">
        <v>2016</v>
      </c>
      <c r="E184" s="0" t="n">
        <v>2022</v>
      </c>
      <c r="F184" s="1" t="s">
        <v>19</v>
      </c>
      <c r="G184" s="0" t="n">
        <v>78000000</v>
      </c>
      <c r="H184" s="0" t="n">
        <f aca="false">LN(G184/C184)</f>
        <v>14.1648861994214</v>
      </c>
      <c r="I184" s="0" t="n">
        <f aca="false">B184</f>
        <v>6</v>
      </c>
      <c r="J184" s="0" t="n">
        <f aca="false">E184-D184</f>
        <v>6</v>
      </c>
      <c r="K184" s="0" t="n">
        <f aca="false">C184</f>
        <v>55</v>
      </c>
      <c r="L184" s="0" t="n">
        <f aca="false">IF(F184="改装済み",1,0)</f>
        <v>0</v>
      </c>
      <c r="M184" s="0" t="n">
        <f aca="false">IF(A184="池尻大橋",1,0)</f>
        <v>0</v>
      </c>
      <c r="N184" s="0" t="n">
        <f aca="false">IF(A184="三軒茶屋",1,0)</f>
        <v>0</v>
      </c>
      <c r="O184" s="0" t="n">
        <f aca="false">IF(A184="駒沢大学",1,0)</f>
        <v>0</v>
      </c>
      <c r="P184" s="0" t="n">
        <f aca="false">IF(A184="桜新町",1,0)</f>
        <v>1</v>
      </c>
      <c r="Q184" s="0" t="n">
        <f aca="false">IF(A184="二子玉川",1,0)</f>
        <v>0</v>
      </c>
      <c r="R184" s="0" t="n">
        <f aca="false">IF(E184=2021,1,0)</f>
        <v>0</v>
      </c>
      <c r="S184" s="0" t="n">
        <f aca="false">IF(E184=2022,1,0)</f>
        <v>1</v>
      </c>
      <c r="T184" s="0" t="n">
        <f aca="false">IF(E184=2023,1,0)</f>
        <v>0</v>
      </c>
      <c r="U184" s="0" t="n">
        <f aca="false">IF(E184=2024,1,0)</f>
        <v>0</v>
      </c>
    </row>
    <row r="185" customFormat="false" ht="15" hidden="false" customHeight="false" outlineLevel="0" collapsed="false">
      <c r="A185" s="1" t="s">
        <v>12</v>
      </c>
      <c r="B185" s="0" t="n">
        <v>9</v>
      </c>
      <c r="C185" s="0" t="n">
        <v>60</v>
      </c>
      <c r="D185" s="0" t="n">
        <v>1973</v>
      </c>
      <c r="E185" s="0" t="n">
        <v>2022</v>
      </c>
      <c r="F185" s="1" t="s">
        <v>18</v>
      </c>
      <c r="G185" s="0" t="n">
        <v>46000000</v>
      </c>
      <c r="H185" s="0" t="n">
        <f aca="false">LN(G185/C185)</f>
        <v>13.5498073922313</v>
      </c>
      <c r="I185" s="0" t="n">
        <f aca="false">B185</f>
        <v>9</v>
      </c>
      <c r="J185" s="0" t="n">
        <f aca="false">E185-D185</f>
        <v>49</v>
      </c>
      <c r="K185" s="0" t="n">
        <f aca="false">C185</f>
        <v>60</v>
      </c>
      <c r="L185" s="0" t="n">
        <f aca="false">IF(F185="改装済み",1,0)</f>
        <v>1</v>
      </c>
      <c r="M185" s="0" t="n">
        <f aca="false">IF(A185="池尻大橋",1,0)</f>
        <v>0</v>
      </c>
      <c r="N185" s="0" t="n">
        <f aca="false">IF(A185="三軒茶屋",1,0)</f>
        <v>0</v>
      </c>
      <c r="O185" s="0" t="n">
        <f aca="false">IF(A185="駒沢大学",1,0)</f>
        <v>0</v>
      </c>
      <c r="P185" s="0" t="n">
        <f aca="false">IF(A185="桜新町",1,0)</f>
        <v>1</v>
      </c>
      <c r="Q185" s="0" t="n">
        <f aca="false">IF(A185="二子玉川",1,0)</f>
        <v>0</v>
      </c>
      <c r="R185" s="0" t="n">
        <f aca="false">IF(E185=2021,1,0)</f>
        <v>0</v>
      </c>
      <c r="S185" s="0" t="n">
        <f aca="false">IF(E185=2022,1,0)</f>
        <v>1</v>
      </c>
      <c r="T185" s="0" t="n">
        <f aca="false">IF(E185=2023,1,0)</f>
        <v>0</v>
      </c>
      <c r="U185" s="0" t="n">
        <f aca="false">IF(E185=2024,1,0)</f>
        <v>0</v>
      </c>
    </row>
    <row r="186" customFormat="false" ht="15" hidden="false" customHeight="false" outlineLevel="0" collapsed="false">
      <c r="A186" s="1" t="s">
        <v>12</v>
      </c>
      <c r="B186" s="0" t="n">
        <v>8</v>
      </c>
      <c r="C186" s="0" t="n">
        <v>65</v>
      </c>
      <c r="D186" s="0" t="n">
        <v>2012</v>
      </c>
      <c r="E186" s="0" t="n">
        <v>2022</v>
      </c>
      <c r="F186" s="1" t="s">
        <v>19</v>
      </c>
      <c r="G186" s="0" t="n">
        <v>67000000</v>
      </c>
      <c r="H186" s="0" t="n">
        <f aca="false">LN(G186/C186)</f>
        <v>13.8458159074596</v>
      </c>
      <c r="I186" s="0" t="n">
        <f aca="false">B186</f>
        <v>8</v>
      </c>
      <c r="J186" s="0" t="n">
        <f aca="false">E186-D186</f>
        <v>10</v>
      </c>
      <c r="K186" s="0" t="n">
        <f aca="false">C186</f>
        <v>65</v>
      </c>
      <c r="L186" s="0" t="n">
        <f aca="false">IF(F186="改装済み",1,0)</f>
        <v>0</v>
      </c>
      <c r="M186" s="0" t="n">
        <f aca="false">IF(A186="池尻大橋",1,0)</f>
        <v>0</v>
      </c>
      <c r="N186" s="0" t="n">
        <f aca="false">IF(A186="三軒茶屋",1,0)</f>
        <v>0</v>
      </c>
      <c r="O186" s="0" t="n">
        <f aca="false">IF(A186="駒沢大学",1,0)</f>
        <v>0</v>
      </c>
      <c r="P186" s="0" t="n">
        <f aca="false">IF(A186="桜新町",1,0)</f>
        <v>1</v>
      </c>
      <c r="Q186" s="0" t="n">
        <f aca="false">IF(A186="二子玉川",1,0)</f>
        <v>0</v>
      </c>
      <c r="R186" s="0" t="n">
        <f aca="false">IF(E186=2021,1,0)</f>
        <v>0</v>
      </c>
      <c r="S186" s="0" t="n">
        <f aca="false">IF(E186=2022,1,0)</f>
        <v>1</v>
      </c>
      <c r="T186" s="0" t="n">
        <f aca="false">IF(E186=2023,1,0)</f>
        <v>0</v>
      </c>
      <c r="U186" s="0" t="n">
        <f aca="false">IF(E186=2024,1,0)</f>
        <v>0</v>
      </c>
    </row>
    <row r="187" customFormat="false" ht="15" hidden="false" customHeight="false" outlineLevel="0" collapsed="false">
      <c r="A187" s="1" t="s">
        <v>12</v>
      </c>
      <c r="B187" s="0" t="n">
        <v>9</v>
      </c>
      <c r="C187" s="0" t="n">
        <v>60</v>
      </c>
      <c r="D187" s="0" t="n">
        <v>1973</v>
      </c>
      <c r="E187" s="0" t="n">
        <v>2021</v>
      </c>
      <c r="F187" s="1" t="s">
        <v>19</v>
      </c>
      <c r="G187" s="0" t="n">
        <v>22000000</v>
      </c>
      <c r="H187" s="0" t="n">
        <f aca="false">LN(G187/C187)</f>
        <v>12.8122084491005</v>
      </c>
      <c r="I187" s="0" t="n">
        <f aca="false">B187</f>
        <v>9</v>
      </c>
      <c r="J187" s="0" t="n">
        <f aca="false">E187-D187</f>
        <v>48</v>
      </c>
      <c r="K187" s="0" t="n">
        <f aca="false">C187</f>
        <v>60</v>
      </c>
      <c r="L187" s="0" t="n">
        <f aca="false">IF(F187="改装済み",1,0)</f>
        <v>0</v>
      </c>
      <c r="M187" s="0" t="n">
        <f aca="false">IF(A187="池尻大橋",1,0)</f>
        <v>0</v>
      </c>
      <c r="N187" s="0" t="n">
        <f aca="false">IF(A187="三軒茶屋",1,0)</f>
        <v>0</v>
      </c>
      <c r="O187" s="0" t="n">
        <f aca="false">IF(A187="駒沢大学",1,0)</f>
        <v>0</v>
      </c>
      <c r="P187" s="0" t="n">
        <f aca="false">IF(A187="桜新町",1,0)</f>
        <v>1</v>
      </c>
      <c r="Q187" s="0" t="n">
        <f aca="false">IF(A187="二子玉川",1,0)</f>
        <v>0</v>
      </c>
      <c r="R187" s="0" t="n">
        <f aca="false">IF(E187=2021,1,0)</f>
        <v>1</v>
      </c>
      <c r="S187" s="0" t="n">
        <f aca="false">IF(E187=2022,1,0)</f>
        <v>0</v>
      </c>
      <c r="T187" s="0" t="n">
        <f aca="false">IF(E187=2023,1,0)</f>
        <v>0</v>
      </c>
      <c r="U187" s="0" t="n">
        <f aca="false">IF(E187=2024,1,0)</f>
        <v>0</v>
      </c>
    </row>
    <row r="188" customFormat="false" ht="15" hidden="false" customHeight="false" outlineLevel="0" collapsed="false">
      <c r="A188" s="1" t="s">
        <v>12</v>
      </c>
      <c r="B188" s="0" t="n">
        <v>3</v>
      </c>
      <c r="C188" s="0" t="n">
        <v>65</v>
      </c>
      <c r="D188" s="0" t="n">
        <v>2012</v>
      </c>
      <c r="E188" s="0" t="n">
        <v>2021</v>
      </c>
      <c r="F188" s="1" t="s">
        <v>19</v>
      </c>
      <c r="G188" s="0" t="n">
        <v>91000000</v>
      </c>
      <c r="H188" s="0" t="n">
        <f aca="false">LN(G188/C188)</f>
        <v>14.1519827945855</v>
      </c>
      <c r="I188" s="0" t="n">
        <f aca="false">B188</f>
        <v>3</v>
      </c>
      <c r="J188" s="0" t="n">
        <f aca="false">E188-D188</f>
        <v>9</v>
      </c>
      <c r="K188" s="0" t="n">
        <f aca="false">C188</f>
        <v>65</v>
      </c>
      <c r="L188" s="0" t="n">
        <f aca="false">IF(F188="改装済み",1,0)</f>
        <v>0</v>
      </c>
      <c r="M188" s="0" t="n">
        <f aca="false">IF(A188="池尻大橋",1,0)</f>
        <v>0</v>
      </c>
      <c r="N188" s="0" t="n">
        <f aca="false">IF(A188="三軒茶屋",1,0)</f>
        <v>0</v>
      </c>
      <c r="O188" s="0" t="n">
        <f aca="false">IF(A188="駒沢大学",1,0)</f>
        <v>0</v>
      </c>
      <c r="P188" s="0" t="n">
        <f aca="false">IF(A188="桜新町",1,0)</f>
        <v>1</v>
      </c>
      <c r="Q188" s="0" t="n">
        <f aca="false">IF(A188="二子玉川",1,0)</f>
        <v>0</v>
      </c>
      <c r="R188" s="0" t="n">
        <f aca="false">IF(E188=2021,1,0)</f>
        <v>1</v>
      </c>
      <c r="S188" s="0" t="n">
        <f aca="false">IF(E188=2022,1,0)</f>
        <v>0</v>
      </c>
      <c r="T188" s="0" t="n">
        <f aca="false">IF(E188=2023,1,0)</f>
        <v>0</v>
      </c>
      <c r="U188" s="0" t="n">
        <f aca="false">IF(E188=2024,1,0)</f>
        <v>0</v>
      </c>
    </row>
    <row r="189" customFormat="false" ht="15" hidden="false" customHeight="false" outlineLevel="0" collapsed="false">
      <c r="A189" s="1" t="s">
        <v>12</v>
      </c>
      <c r="B189" s="0" t="n">
        <v>4</v>
      </c>
      <c r="C189" s="0" t="n">
        <v>60</v>
      </c>
      <c r="D189" s="0" t="n">
        <v>2014</v>
      </c>
      <c r="E189" s="0" t="n">
        <v>2021</v>
      </c>
      <c r="F189" s="1" t="s">
        <v>19</v>
      </c>
      <c r="G189" s="0" t="n">
        <v>75000000</v>
      </c>
      <c r="H189" s="0" t="n">
        <f aca="false">LN(G189/C189)</f>
        <v>14.0386541092785</v>
      </c>
      <c r="I189" s="0" t="n">
        <f aca="false">B189</f>
        <v>4</v>
      </c>
      <c r="J189" s="0" t="n">
        <f aca="false">E189-D189</f>
        <v>7</v>
      </c>
      <c r="K189" s="0" t="n">
        <f aca="false">C189</f>
        <v>60</v>
      </c>
      <c r="L189" s="0" t="n">
        <f aca="false">IF(F189="改装済み",1,0)</f>
        <v>0</v>
      </c>
      <c r="M189" s="0" t="n">
        <f aca="false">IF(A189="池尻大橋",1,0)</f>
        <v>0</v>
      </c>
      <c r="N189" s="0" t="n">
        <f aca="false">IF(A189="三軒茶屋",1,0)</f>
        <v>0</v>
      </c>
      <c r="O189" s="0" t="n">
        <f aca="false">IF(A189="駒沢大学",1,0)</f>
        <v>0</v>
      </c>
      <c r="P189" s="0" t="n">
        <f aca="false">IF(A189="桜新町",1,0)</f>
        <v>1</v>
      </c>
      <c r="Q189" s="0" t="n">
        <f aca="false">IF(A189="二子玉川",1,0)</f>
        <v>0</v>
      </c>
      <c r="R189" s="0" t="n">
        <f aca="false">IF(E189=2021,1,0)</f>
        <v>1</v>
      </c>
      <c r="S189" s="0" t="n">
        <f aca="false">IF(E189=2022,1,0)</f>
        <v>0</v>
      </c>
      <c r="T189" s="0" t="n">
        <f aca="false">IF(E189=2023,1,0)</f>
        <v>0</v>
      </c>
      <c r="U189" s="0" t="n">
        <f aca="false">IF(E189=2024,1,0)</f>
        <v>0</v>
      </c>
    </row>
    <row r="190" customFormat="false" ht="15" hidden="false" customHeight="false" outlineLevel="0" collapsed="false">
      <c r="A190" s="1" t="s">
        <v>12</v>
      </c>
      <c r="B190" s="0" t="n">
        <v>9</v>
      </c>
      <c r="C190" s="0" t="n">
        <v>55</v>
      </c>
      <c r="D190" s="0" t="n">
        <v>1974</v>
      </c>
      <c r="E190" s="0" t="n">
        <v>2021</v>
      </c>
      <c r="F190" s="1" t="s">
        <v>19</v>
      </c>
      <c r="G190" s="0" t="n">
        <v>23000000</v>
      </c>
      <c r="H190" s="0" t="n">
        <f aca="false">LN(G190/C190)</f>
        <v>12.943671588661</v>
      </c>
      <c r="I190" s="0" t="n">
        <f aca="false">B190</f>
        <v>9</v>
      </c>
      <c r="J190" s="0" t="n">
        <f aca="false">E190-D190</f>
        <v>47</v>
      </c>
      <c r="K190" s="0" t="n">
        <f aca="false">C190</f>
        <v>55</v>
      </c>
      <c r="L190" s="0" t="n">
        <f aca="false">IF(F190="改装済み",1,0)</f>
        <v>0</v>
      </c>
      <c r="M190" s="0" t="n">
        <f aca="false">IF(A190="池尻大橋",1,0)</f>
        <v>0</v>
      </c>
      <c r="N190" s="0" t="n">
        <f aca="false">IF(A190="三軒茶屋",1,0)</f>
        <v>0</v>
      </c>
      <c r="O190" s="0" t="n">
        <f aca="false">IF(A190="駒沢大学",1,0)</f>
        <v>0</v>
      </c>
      <c r="P190" s="0" t="n">
        <f aca="false">IF(A190="桜新町",1,0)</f>
        <v>1</v>
      </c>
      <c r="Q190" s="0" t="n">
        <f aca="false">IF(A190="二子玉川",1,0)</f>
        <v>0</v>
      </c>
      <c r="R190" s="0" t="n">
        <f aca="false">IF(E190=2021,1,0)</f>
        <v>1</v>
      </c>
      <c r="S190" s="0" t="n">
        <f aca="false">IF(E190=2022,1,0)</f>
        <v>0</v>
      </c>
      <c r="T190" s="0" t="n">
        <f aca="false">IF(E190=2023,1,0)</f>
        <v>0</v>
      </c>
      <c r="U190" s="0" t="n">
        <f aca="false">IF(E190=2024,1,0)</f>
        <v>0</v>
      </c>
    </row>
    <row r="191" customFormat="false" ht="15" hidden="false" customHeight="false" outlineLevel="0" collapsed="false">
      <c r="A191" s="1" t="s">
        <v>12</v>
      </c>
      <c r="B191" s="0" t="n">
        <v>2</v>
      </c>
      <c r="C191" s="0" t="n">
        <v>85</v>
      </c>
      <c r="D191" s="0" t="n">
        <v>2014</v>
      </c>
      <c r="E191" s="0" t="n">
        <v>2021</v>
      </c>
      <c r="F191" s="1" t="s">
        <v>19</v>
      </c>
      <c r="G191" s="0" t="n">
        <v>120000000</v>
      </c>
      <c r="H191" s="0" t="n">
        <f aca="false">LN(G191/C191)</f>
        <v>14.160351044256</v>
      </c>
      <c r="I191" s="0" t="n">
        <f aca="false">B191</f>
        <v>2</v>
      </c>
      <c r="J191" s="0" t="n">
        <f aca="false">E191-D191</f>
        <v>7</v>
      </c>
      <c r="K191" s="0" t="n">
        <f aca="false">C191</f>
        <v>85</v>
      </c>
      <c r="L191" s="0" t="n">
        <f aca="false">IF(F191="改装済み",1,0)</f>
        <v>0</v>
      </c>
      <c r="M191" s="0" t="n">
        <f aca="false">IF(A191="池尻大橋",1,0)</f>
        <v>0</v>
      </c>
      <c r="N191" s="0" t="n">
        <f aca="false">IF(A191="三軒茶屋",1,0)</f>
        <v>0</v>
      </c>
      <c r="O191" s="0" t="n">
        <f aca="false">IF(A191="駒沢大学",1,0)</f>
        <v>0</v>
      </c>
      <c r="P191" s="0" t="n">
        <f aca="false">IF(A191="桜新町",1,0)</f>
        <v>1</v>
      </c>
      <c r="Q191" s="0" t="n">
        <f aca="false">IF(A191="二子玉川",1,0)</f>
        <v>0</v>
      </c>
      <c r="R191" s="0" t="n">
        <f aca="false">IF(E191=2021,1,0)</f>
        <v>1</v>
      </c>
      <c r="S191" s="0" t="n">
        <f aca="false">IF(E191=2022,1,0)</f>
        <v>0</v>
      </c>
      <c r="T191" s="0" t="n">
        <f aca="false">IF(E191=2023,1,0)</f>
        <v>0</v>
      </c>
      <c r="U191" s="0" t="n">
        <f aca="false">IF(E191=2024,1,0)</f>
        <v>0</v>
      </c>
    </row>
    <row r="192" customFormat="false" ht="15" hidden="false" customHeight="false" outlineLevel="0" collapsed="false">
      <c r="A192" s="1" t="s">
        <v>12</v>
      </c>
      <c r="B192" s="0" t="n">
        <v>6</v>
      </c>
      <c r="C192" s="0" t="n">
        <v>75</v>
      </c>
      <c r="D192" s="0" t="n">
        <v>2002</v>
      </c>
      <c r="E192" s="0" t="n">
        <v>2021</v>
      </c>
      <c r="F192" s="1" t="s">
        <v>18</v>
      </c>
      <c r="G192" s="0" t="n">
        <v>71000000</v>
      </c>
      <c r="H192" s="0" t="n">
        <f aca="false">LN(G192/C192)</f>
        <v>13.7607023214693</v>
      </c>
      <c r="I192" s="0" t="n">
        <f aca="false">B192</f>
        <v>6</v>
      </c>
      <c r="J192" s="0" t="n">
        <f aca="false">E192-D192</f>
        <v>19</v>
      </c>
      <c r="K192" s="0" t="n">
        <f aca="false">C192</f>
        <v>75</v>
      </c>
      <c r="L192" s="0" t="n">
        <f aca="false">IF(F192="改装済み",1,0)</f>
        <v>1</v>
      </c>
      <c r="M192" s="0" t="n">
        <f aca="false">IF(A192="池尻大橋",1,0)</f>
        <v>0</v>
      </c>
      <c r="N192" s="0" t="n">
        <f aca="false">IF(A192="三軒茶屋",1,0)</f>
        <v>0</v>
      </c>
      <c r="O192" s="0" t="n">
        <f aca="false">IF(A192="駒沢大学",1,0)</f>
        <v>0</v>
      </c>
      <c r="P192" s="0" t="n">
        <f aca="false">IF(A192="桜新町",1,0)</f>
        <v>1</v>
      </c>
      <c r="Q192" s="0" t="n">
        <f aca="false">IF(A192="二子玉川",1,0)</f>
        <v>0</v>
      </c>
      <c r="R192" s="0" t="n">
        <f aca="false">IF(E192=2021,1,0)</f>
        <v>1</v>
      </c>
      <c r="S192" s="0" t="n">
        <f aca="false">IF(E192=2022,1,0)</f>
        <v>0</v>
      </c>
      <c r="T192" s="0" t="n">
        <f aca="false">IF(E192=2023,1,0)</f>
        <v>0</v>
      </c>
      <c r="U192" s="0" t="n">
        <f aca="false">IF(E192=2024,1,0)</f>
        <v>0</v>
      </c>
    </row>
    <row r="193" customFormat="false" ht="15" hidden="false" customHeight="false" outlineLevel="0" collapsed="false">
      <c r="A193" s="1" t="s">
        <v>10</v>
      </c>
      <c r="B193" s="0" t="n">
        <v>7</v>
      </c>
      <c r="C193" s="0" t="n">
        <v>50</v>
      </c>
      <c r="D193" s="0" t="n">
        <v>1995</v>
      </c>
      <c r="E193" s="0" t="n">
        <v>2025</v>
      </c>
      <c r="F193" s="1" t="s">
        <v>18</v>
      </c>
      <c r="G193" s="0" t="n">
        <v>100000000</v>
      </c>
      <c r="H193" s="0" t="n">
        <f aca="false">LN(G193/C193)</f>
        <v>14.5086577385242</v>
      </c>
      <c r="I193" s="0" t="n">
        <f aca="false">B193</f>
        <v>7</v>
      </c>
      <c r="J193" s="0" t="n">
        <f aca="false">E193-D193</f>
        <v>30</v>
      </c>
      <c r="K193" s="0" t="n">
        <f aca="false">C193</f>
        <v>50</v>
      </c>
      <c r="L193" s="0" t="n">
        <f aca="false">IF(F193="改装済み",1,0)</f>
        <v>1</v>
      </c>
      <c r="M193" s="0" t="n">
        <f aca="false">IF(A193="池尻大橋",1,0)</f>
        <v>0</v>
      </c>
      <c r="N193" s="0" t="n">
        <f aca="false">IF(A193="三軒茶屋",1,0)</f>
        <v>1</v>
      </c>
      <c r="O193" s="0" t="n">
        <f aca="false">IF(A193="駒沢大学",1,0)</f>
        <v>0</v>
      </c>
      <c r="P193" s="0" t="n">
        <f aca="false">IF(A193="桜新町",1,0)</f>
        <v>0</v>
      </c>
      <c r="Q193" s="0" t="n">
        <f aca="false">IF(A193="二子玉川",1,0)</f>
        <v>0</v>
      </c>
      <c r="R193" s="0" t="n">
        <f aca="false">IF(E193=2021,1,0)</f>
        <v>0</v>
      </c>
      <c r="S193" s="0" t="n">
        <f aca="false">IF(E193=2022,1,0)</f>
        <v>0</v>
      </c>
      <c r="T193" s="0" t="n">
        <f aca="false">IF(E193=2023,1,0)</f>
        <v>0</v>
      </c>
      <c r="U193" s="0" t="n">
        <f aca="false">IF(E193=2024,1,0)</f>
        <v>0</v>
      </c>
    </row>
    <row r="194" customFormat="false" ht="15" hidden="false" customHeight="false" outlineLevel="0" collapsed="false">
      <c r="A194" s="1" t="s">
        <v>10</v>
      </c>
      <c r="B194" s="0" t="n">
        <v>7</v>
      </c>
      <c r="C194" s="0" t="n">
        <v>50</v>
      </c>
      <c r="D194" s="0" t="n">
        <v>1995</v>
      </c>
      <c r="E194" s="0" t="n">
        <v>2025</v>
      </c>
      <c r="F194" s="1" t="s">
        <v>18</v>
      </c>
      <c r="G194" s="0" t="n">
        <v>89000000</v>
      </c>
      <c r="H194" s="0" t="n">
        <f aca="false">LN(G194/C194)</f>
        <v>14.3921239222683</v>
      </c>
      <c r="I194" s="0" t="n">
        <f aca="false">B194</f>
        <v>7</v>
      </c>
      <c r="J194" s="0" t="n">
        <f aca="false">E194-D194</f>
        <v>30</v>
      </c>
      <c r="K194" s="0" t="n">
        <f aca="false">C194</f>
        <v>50</v>
      </c>
      <c r="L194" s="0" t="n">
        <f aca="false">IF(F194="改装済み",1,0)</f>
        <v>1</v>
      </c>
      <c r="M194" s="0" t="n">
        <f aca="false">IF(A194="池尻大橋",1,0)</f>
        <v>0</v>
      </c>
      <c r="N194" s="0" t="n">
        <f aca="false">IF(A194="三軒茶屋",1,0)</f>
        <v>1</v>
      </c>
      <c r="O194" s="0" t="n">
        <f aca="false">IF(A194="駒沢大学",1,0)</f>
        <v>0</v>
      </c>
      <c r="P194" s="0" t="n">
        <f aca="false">IF(A194="桜新町",1,0)</f>
        <v>0</v>
      </c>
      <c r="Q194" s="0" t="n">
        <f aca="false">IF(A194="二子玉川",1,0)</f>
        <v>0</v>
      </c>
      <c r="R194" s="0" t="n">
        <f aca="false">IF(E194=2021,1,0)</f>
        <v>0</v>
      </c>
      <c r="S194" s="0" t="n">
        <f aca="false">IF(E194=2022,1,0)</f>
        <v>0</v>
      </c>
      <c r="T194" s="0" t="n">
        <f aca="false">IF(E194=2023,1,0)</f>
        <v>0</v>
      </c>
      <c r="U194" s="0" t="n">
        <f aca="false">IF(E194=2024,1,0)</f>
        <v>0</v>
      </c>
    </row>
    <row r="195" customFormat="false" ht="15" hidden="false" customHeight="false" outlineLevel="0" collapsed="false">
      <c r="A195" s="1" t="s">
        <v>10</v>
      </c>
      <c r="B195" s="0" t="n">
        <v>12</v>
      </c>
      <c r="C195" s="0" t="n">
        <v>65</v>
      </c>
      <c r="D195" s="0" t="n">
        <v>2004</v>
      </c>
      <c r="E195" s="0" t="n">
        <v>2025</v>
      </c>
      <c r="F195" s="1" t="s">
        <v>19</v>
      </c>
      <c r="G195" s="0" t="n">
        <v>91000000</v>
      </c>
      <c r="H195" s="0" t="n">
        <f aca="false">LN(G195/C195)</f>
        <v>14.1519827945855</v>
      </c>
      <c r="I195" s="0" t="n">
        <f aca="false">B195</f>
        <v>12</v>
      </c>
      <c r="J195" s="0" t="n">
        <f aca="false">E195-D195</f>
        <v>21</v>
      </c>
      <c r="K195" s="0" t="n">
        <f aca="false">C195</f>
        <v>65</v>
      </c>
      <c r="L195" s="0" t="n">
        <f aca="false">IF(F195="改装済み",1,0)</f>
        <v>0</v>
      </c>
      <c r="M195" s="0" t="n">
        <f aca="false">IF(A195="池尻大橋",1,0)</f>
        <v>0</v>
      </c>
      <c r="N195" s="0" t="n">
        <f aca="false">IF(A195="三軒茶屋",1,0)</f>
        <v>1</v>
      </c>
      <c r="O195" s="0" t="n">
        <f aca="false">IF(A195="駒沢大学",1,0)</f>
        <v>0</v>
      </c>
      <c r="P195" s="0" t="n">
        <f aca="false">IF(A195="桜新町",1,0)</f>
        <v>0</v>
      </c>
      <c r="Q195" s="0" t="n">
        <f aca="false">IF(A195="二子玉川",1,0)</f>
        <v>0</v>
      </c>
      <c r="R195" s="0" t="n">
        <f aca="false">IF(E195=2021,1,0)</f>
        <v>0</v>
      </c>
      <c r="S195" s="0" t="n">
        <f aca="false">IF(E195=2022,1,0)</f>
        <v>0</v>
      </c>
      <c r="T195" s="0" t="n">
        <f aca="false">IF(E195=2023,1,0)</f>
        <v>0</v>
      </c>
      <c r="U195" s="0" t="n">
        <f aca="false">IF(E195=2024,1,0)</f>
        <v>0</v>
      </c>
    </row>
    <row r="196" customFormat="false" ht="15" hidden="false" customHeight="false" outlineLevel="0" collapsed="false">
      <c r="A196" s="1" t="s">
        <v>10</v>
      </c>
      <c r="B196" s="0" t="n">
        <v>12</v>
      </c>
      <c r="C196" s="0" t="n">
        <v>65</v>
      </c>
      <c r="D196" s="0" t="n">
        <v>2005</v>
      </c>
      <c r="E196" s="0" t="n">
        <v>2025</v>
      </c>
      <c r="F196" s="1" t="s">
        <v>19</v>
      </c>
      <c r="G196" s="0" t="n">
        <v>70000000</v>
      </c>
      <c r="H196" s="0" t="n">
        <f aca="false">LN(G196/C196)</f>
        <v>13.889618530118</v>
      </c>
      <c r="I196" s="0" t="n">
        <f aca="false">B196</f>
        <v>12</v>
      </c>
      <c r="J196" s="0" t="n">
        <f aca="false">E196-D196</f>
        <v>20</v>
      </c>
      <c r="K196" s="0" t="n">
        <f aca="false">C196</f>
        <v>65</v>
      </c>
      <c r="L196" s="0" t="n">
        <f aca="false">IF(F196="改装済み",1,0)</f>
        <v>0</v>
      </c>
      <c r="M196" s="0" t="n">
        <f aca="false">IF(A196="池尻大橋",1,0)</f>
        <v>0</v>
      </c>
      <c r="N196" s="0" t="n">
        <f aca="false">IF(A196="三軒茶屋",1,0)</f>
        <v>1</v>
      </c>
      <c r="O196" s="0" t="n">
        <f aca="false">IF(A196="駒沢大学",1,0)</f>
        <v>0</v>
      </c>
      <c r="P196" s="0" t="n">
        <f aca="false">IF(A196="桜新町",1,0)</f>
        <v>0</v>
      </c>
      <c r="Q196" s="0" t="n">
        <f aca="false">IF(A196="二子玉川",1,0)</f>
        <v>0</v>
      </c>
      <c r="R196" s="0" t="n">
        <f aca="false">IF(E196=2021,1,0)</f>
        <v>0</v>
      </c>
      <c r="S196" s="0" t="n">
        <f aca="false">IF(E196=2022,1,0)</f>
        <v>0</v>
      </c>
      <c r="T196" s="0" t="n">
        <f aca="false">IF(E196=2023,1,0)</f>
        <v>0</v>
      </c>
      <c r="U196" s="0" t="n">
        <f aca="false">IF(E196=2024,1,0)</f>
        <v>0</v>
      </c>
    </row>
    <row r="197" customFormat="false" ht="15" hidden="false" customHeight="false" outlineLevel="0" collapsed="false">
      <c r="A197" s="1" t="s">
        <v>10</v>
      </c>
      <c r="B197" s="0" t="n">
        <v>10</v>
      </c>
      <c r="C197" s="0" t="n">
        <v>50</v>
      </c>
      <c r="D197" s="0" t="n">
        <v>1973</v>
      </c>
      <c r="E197" s="0" t="n">
        <v>2025</v>
      </c>
      <c r="F197" s="1" t="s">
        <v>18</v>
      </c>
      <c r="G197" s="0" t="n">
        <v>56000000</v>
      </c>
      <c r="H197" s="0" t="n">
        <f aca="false">LN(G197/C197)</f>
        <v>13.9288392432713</v>
      </c>
      <c r="I197" s="0" t="n">
        <f aca="false">B197</f>
        <v>10</v>
      </c>
      <c r="J197" s="0" t="n">
        <f aca="false">E197-D197</f>
        <v>52</v>
      </c>
      <c r="K197" s="0" t="n">
        <f aca="false">C197</f>
        <v>50</v>
      </c>
      <c r="L197" s="0" t="n">
        <f aca="false">IF(F197="改装済み",1,0)</f>
        <v>1</v>
      </c>
      <c r="M197" s="0" t="n">
        <f aca="false">IF(A197="池尻大橋",1,0)</f>
        <v>0</v>
      </c>
      <c r="N197" s="0" t="n">
        <f aca="false">IF(A197="三軒茶屋",1,0)</f>
        <v>1</v>
      </c>
      <c r="O197" s="0" t="n">
        <f aca="false">IF(A197="駒沢大学",1,0)</f>
        <v>0</v>
      </c>
      <c r="P197" s="0" t="n">
        <f aca="false">IF(A197="桜新町",1,0)</f>
        <v>0</v>
      </c>
      <c r="Q197" s="0" t="n">
        <f aca="false">IF(A197="二子玉川",1,0)</f>
        <v>0</v>
      </c>
      <c r="R197" s="0" t="n">
        <f aca="false">IF(E197=2021,1,0)</f>
        <v>0</v>
      </c>
      <c r="S197" s="0" t="n">
        <f aca="false">IF(E197=2022,1,0)</f>
        <v>0</v>
      </c>
      <c r="T197" s="0" t="n">
        <f aca="false">IF(E197=2023,1,0)</f>
        <v>0</v>
      </c>
      <c r="U197" s="0" t="n">
        <f aca="false">IF(E197=2024,1,0)</f>
        <v>0</v>
      </c>
    </row>
    <row r="198" customFormat="false" ht="15" hidden="false" customHeight="false" outlineLevel="0" collapsed="false">
      <c r="A198" s="1" t="s">
        <v>10</v>
      </c>
      <c r="B198" s="0" t="n">
        <v>2</v>
      </c>
      <c r="C198" s="0" t="n">
        <v>50</v>
      </c>
      <c r="D198" s="0" t="n">
        <v>2013</v>
      </c>
      <c r="E198" s="0" t="n">
        <v>2025</v>
      </c>
      <c r="F198" s="1" t="s">
        <v>18</v>
      </c>
      <c r="G198" s="0" t="n">
        <v>95000000</v>
      </c>
      <c r="H198" s="0" t="n">
        <f aca="false">LN(G198/C198)</f>
        <v>14.4573644441367</v>
      </c>
      <c r="I198" s="0" t="n">
        <f aca="false">B198</f>
        <v>2</v>
      </c>
      <c r="J198" s="0" t="n">
        <f aca="false">E198-D198</f>
        <v>12</v>
      </c>
      <c r="K198" s="0" t="n">
        <f aca="false">C198</f>
        <v>50</v>
      </c>
      <c r="L198" s="0" t="n">
        <f aca="false">IF(F198="改装済み",1,0)</f>
        <v>1</v>
      </c>
      <c r="M198" s="0" t="n">
        <f aca="false">IF(A198="池尻大橋",1,0)</f>
        <v>0</v>
      </c>
      <c r="N198" s="0" t="n">
        <f aca="false">IF(A198="三軒茶屋",1,0)</f>
        <v>1</v>
      </c>
      <c r="O198" s="0" t="n">
        <f aca="false">IF(A198="駒沢大学",1,0)</f>
        <v>0</v>
      </c>
      <c r="P198" s="0" t="n">
        <f aca="false">IF(A198="桜新町",1,0)</f>
        <v>0</v>
      </c>
      <c r="Q198" s="0" t="n">
        <f aca="false">IF(A198="二子玉川",1,0)</f>
        <v>0</v>
      </c>
      <c r="R198" s="0" t="n">
        <f aca="false">IF(E198=2021,1,0)</f>
        <v>0</v>
      </c>
      <c r="S198" s="0" t="n">
        <f aca="false">IF(E198=2022,1,0)</f>
        <v>0</v>
      </c>
      <c r="T198" s="0" t="n">
        <f aca="false">IF(E198=2023,1,0)</f>
        <v>0</v>
      </c>
      <c r="U198" s="0" t="n">
        <f aca="false">IF(E198=2024,1,0)</f>
        <v>0</v>
      </c>
    </row>
    <row r="199" customFormat="false" ht="15" hidden="false" customHeight="false" outlineLevel="0" collapsed="false">
      <c r="A199" s="1" t="s">
        <v>10</v>
      </c>
      <c r="B199" s="0" t="n">
        <v>1</v>
      </c>
      <c r="C199" s="0" t="n">
        <v>60</v>
      </c>
      <c r="D199" s="0" t="n">
        <v>1998</v>
      </c>
      <c r="E199" s="0" t="n">
        <v>2024</v>
      </c>
      <c r="F199" s="1" t="s">
        <v>18</v>
      </c>
      <c r="G199" s="0" t="n">
        <v>100000000</v>
      </c>
      <c r="H199" s="0" t="n">
        <f aca="false">LN(G199/C199)</f>
        <v>14.3263361817303</v>
      </c>
      <c r="I199" s="0" t="n">
        <f aca="false">B199</f>
        <v>1</v>
      </c>
      <c r="J199" s="0" t="n">
        <f aca="false">E199-D199</f>
        <v>26</v>
      </c>
      <c r="K199" s="0" t="n">
        <f aca="false">C199</f>
        <v>60</v>
      </c>
      <c r="L199" s="0" t="n">
        <f aca="false">IF(F199="改装済み",1,0)</f>
        <v>1</v>
      </c>
      <c r="M199" s="0" t="n">
        <f aca="false">IF(A199="池尻大橋",1,0)</f>
        <v>0</v>
      </c>
      <c r="N199" s="0" t="n">
        <f aca="false">IF(A199="三軒茶屋",1,0)</f>
        <v>1</v>
      </c>
      <c r="O199" s="0" t="n">
        <f aca="false">IF(A199="駒沢大学",1,0)</f>
        <v>0</v>
      </c>
      <c r="P199" s="0" t="n">
        <f aca="false">IF(A199="桜新町",1,0)</f>
        <v>0</v>
      </c>
      <c r="Q199" s="0" t="n">
        <f aca="false">IF(A199="二子玉川",1,0)</f>
        <v>0</v>
      </c>
      <c r="R199" s="0" t="n">
        <f aca="false">IF(E199=2021,1,0)</f>
        <v>0</v>
      </c>
      <c r="S199" s="0" t="n">
        <f aca="false">IF(E199=2022,1,0)</f>
        <v>0</v>
      </c>
      <c r="T199" s="0" t="n">
        <f aca="false">IF(E199=2023,1,0)</f>
        <v>0</v>
      </c>
      <c r="U199" s="0" t="n">
        <f aca="false">IF(E199=2024,1,0)</f>
        <v>1</v>
      </c>
    </row>
    <row r="200" customFormat="false" ht="15" hidden="false" customHeight="false" outlineLevel="0" collapsed="false">
      <c r="A200" s="1" t="s">
        <v>10</v>
      </c>
      <c r="B200" s="0" t="n">
        <v>12</v>
      </c>
      <c r="C200" s="0" t="n">
        <v>85</v>
      </c>
      <c r="D200" s="0" t="n">
        <v>2004</v>
      </c>
      <c r="E200" s="0" t="n">
        <v>2024</v>
      </c>
      <c r="F200" s="1" t="s">
        <v>18</v>
      </c>
      <c r="G200" s="0" t="n">
        <v>140000000</v>
      </c>
      <c r="H200" s="0" t="n">
        <f aca="false">LN(G200/C200)</f>
        <v>14.3145017240833</v>
      </c>
      <c r="I200" s="0" t="n">
        <f aca="false">B200</f>
        <v>12</v>
      </c>
      <c r="J200" s="0" t="n">
        <f aca="false">E200-D200</f>
        <v>20</v>
      </c>
      <c r="K200" s="0" t="n">
        <f aca="false">C200</f>
        <v>85</v>
      </c>
      <c r="L200" s="0" t="n">
        <f aca="false">IF(F200="改装済み",1,0)</f>
        <v>1</v>
      </c>
      <c r="M200" s="0" t="n">
        <f aca="false">IF(A200="池尻大橋",1,0)</f>
        <v>0</v>
      </c>
      <c r="N200" s="0" t="n">
        <f aca="false">IF(A200="三軒茶屋",1,0)</f>
        <v>1</v>
      </c>
      <c r="O200" s="0" t="n">
        <f aca="false">IF(A200="駒沢大学",1,0)</f>
        <v>0</v>
      </c>
      <c r="P200" s="0" t="n">
        <f aca="false">IF(A200="桜新町",1,0)</f>
        <v>0</v>
      </c>
      <c r="Q200" s="0" t="n">
        <f aca="false">IF(A200="二子玉川",1,0)</f>
        <v>0</v>
      </c>
      <c r="R200" s="0" t="n">
        <f aca="false">IF(E200=2021,1,0)</f>
        <v>0</v>
      </c>
      <c r="S200" s="0" t="n">
        <f aca="false">IF(E200=2022,1,0)</f>
        <v>0</v>
      </c>
      <c r="T200" s="0" t="n">
        <f aca="false">IF(E200=2023,1,0)</f>
        <v>0</v>
      </c>
      <c r="U200" s="0" t="n">
        <f aca="false">IF(E200=2024,1,0)</f>
        <v>1</v>
      </c>
    </row>
    <row r="201" customFormat="false" ht="15" hidden="false" customHeight="false" outlineLevel="0" collapsed="false">
      <c r="A201" s="1" t="s">
        <v>10</v>
      </c>
      <c r="B201" s="0" t="n">
        <v>3</v>
      </c>
      <c r="C201" s="0" t="n">
        <v>50</v>
      </c>
      <c r="D201" s="0" t="n">
        <v>1978</v>
      </c>
      <c r="E201" s="0" t="n">
        <v>2024</v>
      </c>
      <c r="F201" s="1" t="s">
        <v>19</v>
      </c>
      <c r="G201" s="0" t="n">
        <v>39000000</v>
      </c>
      <c r="H201" s="0" t="n">
        <f aca="false">LN(G201/C201)</f>
        <v>13.5670491986658</v>
      </c>
      <c r="I201" s="0" t="n">
        <f aca="false">B201</f>
        <v>3</v>
      </c>
      <c r="J201" s="0" t="n">
        <f aca="false">E201-D201</f>
        <v>46</v>
      </c>
      <c r="K201" s="0" t="n">
        <f aca="false">C201</f>
        <v>50</v>
      </c>
      <c r="L201" s="0" t="n">
        <f aca="false">IF(F201="改装済み",1,0)</f>
        <v>0</v>
      </c>
      <c r="M201" s="0" t="n">
        <f aca="false">IF(A201="池尻大橋",1,0)</f>
        <v>0</v>
      </c>
      <c r="N201" s="0" t="n">
        <f aca="false">IF(A201="三軒茶屋",1,0)</f>
        <v>1</v>
      </c>
      <c r="O201" s="0" t="n">
        <f aca="false">IF(A201="駒沢大学",1,0)</f>
        <v>0</v>
      </c>
      <c r="P201" s="0" t="n">
        <f aca="false">IF(A201="桜新町",1,0)</f>
        <v>0</v>
      </c>
      <c r="Q201" s="0" t="n">
        <f aca="false">IF(A201="二子玉川",1,0)</f>
        <v>0</v>
      </c>
      <c r="R201" s="0" t="n">
        <f aca="false">IF(E201=2021,1,0)</f>
        <v>0</v>
      </c>
      <c r="S201" s="0" t="n">
        <f aca="false">IF(E201=2022,1,0)</f>
        <v>0</v>
      </c>
      <c r="T201" s="0" t="n">
        <f aca="false">IF(E201=2023,1,0)</f>
        <v>0</v>
      </c>
      <c r="U201" s="0" t="n">
        <f aca="false">IF(E201=2024,1,0)</f>
        <v>1</v>
      </c>
    </row>
    <row r="202" customFormat="false" ht="15" hidden="false" customHeight="false" outlineLevel="0" collapsed="false">
      <c r="A202" s="1" t="s">
        <v>10</v>
      </c>
      <c r="B202" s="0" t="n">
        <v>4</v>
      </c>
      <c r="C202" s="0" t="n">
        <v>55</v>
      </c>
      <c r="D202" s="0" t="n">
        <v>2004</v>
      </c>
      <c r="E202" s="0" t="n">
        <v>2024</v>
      </c>
      <c r="F202" s="1" t="s">
        <v>19</v>
      </c>
      <c r="G202" s="0" t="n">
        <v>80000000</v>
      </c>
      <c r="H202" s="0" t="n">
        <f aca="false">LN(G202/C202)</f>
        <v>14.1902040074057</v>
      </c>
      <c r="I202" s="0" t="n">
        <f aca="false">B202</f>
        <v>4</v>
      </c>
      <c r="J202" s="0" t="n">
        <f aca="false">E202-D202</f>
        <v>20</v>
      </c>
      <c r="K202" s="0" t="n">
        <f aca="false">C202</f>
        <v>55</v>
      </c>
      <c r="L202" s="0" t="n">
        <f aca="false">IF(F202="改装済み",1,0)</f>
        <v>0</v>
      </c>
      <c r="M202" s="0" t="n">
        <f aca="false">IF(A202="池尻大橋",1,0)</f>
        <v>0</v>
      </c>
      <c r="N202" s="0" t="n">
        <f aca="false">IF(A202="三軒茶屋",1,0)</f>
        <v>1</v>
      </c>
      <c r="O202" s="0" t="n">
        <f aca="false">IF(A202="駒沢大学",1,0)</f>
        <v>0</v>
      </c>
      <c r="P202" s="0" t="n">
        <f aca="false">IF(A202="桜新町",1,0)</f>
        <v>0</v>
      </c>
      <c r="Q202" s="0" t="n">
        <f aca="false">IF(A202="二子玉川",1,0)</f>
        <v>0</v>
      </c>
      <c r="R202" s="0" t="n">
        <f aca="false">IF(E202=2021,1,0)</f>
        <v>0</v>
      </c>
      <c r="S202" s="0" t="n">
        <f aca="false">IF(E202=2022,1,0)</f>
        <v>0</v>
      </c>
      <c r="T202" s="0" t="n">
        <f aca="false">IF(E202=2023,1,0)</f>
        <v>0</v>
      </c>
      <c r="U202" s="0" t="n">
        <f aca="false">IF(E202=2024,1,0)</f>
        <v>1</v>
      </c>
    </row>
    <row r="203" customFormat="false" ht="15" hidden="false" customHeight="false" outlineLevel="0" collapsed="false">
      <c r="A203" s="1" t="s">
        <v>10</v>
      </c>
      <c r="B203" s="0" t="n">
        <v>7</v>
      </c>
      <c r="C203" s="0" t="n">
        <v>105</v>
      </c>
      <c r="D203" s="0" t="n">
        <v>1995</v>
      </c>
      <c r="E203" s="0" t="n">
        <v>2024</v>
      </c>
      <c r="F203" s="1" t="s">
        <v>18</v>
      </c>
      <c r="G203" s="0" t="n">
        <v>130000000</v>
      </c>
      <c r="H203" s="0" t="n">
        <f aca="false">LN(G203/C203)</f>
        <v>14.0290846582623</v>
      </c>
      <c r="I203" s="0" t="n">
        <f aca="false">B203</f>
        <v>7</v>
      </c>
      <c r="J203" s="0" t="n">
        <f aca="false">E203-D203</f>
        <v>29</v>
      </c>
      <c r="K203" s="0" t="n">
        <f aca="false">C203</f>
        <v>105</v>
      </c>
      <c r="L203" s="0" t="n">
        <f aca="false">IF(F203="改装済み",1,0)</f>
        <v>1</v>
      </c>
      <c r="M203" s="0" t="n">
        <f aca="false">IF(A203="池尻大橋",1,0)</f>
        <v>0</v>
      </c>
      <c r="N203" s="0" t="n">
        <f aca="false">IF(A203="三軒茶屋",1,0)</f>
        <v>1</v>
      </c>
      <c r="O203" s="0" t="n">
        <f aca="false">IF(A203="駒沢大学",1,0)</f>
        <v>0</v>
      </c>
      <c r="P203" s="0" t="n">
        <f aca="false">IF(A203="桜新町",1,0)</f>
        <v>0</v>
      </c>
      <c r="Q203" s="0" t="n">
        <f aca="false">IF(A203="二子玉川",1,0)</f>
        <v>0</v>
      </c>
      <c r="R203" s="0" t="n">
        <f aca="false">IF(E203=2021,1,0)</f>
        <v>0</v>
      </c>
      <c r="S203" s="0" t="n">
        <f aca="false">IF(E203=2022,1,0)</f>
        <v>0</v>
      </c>
      <c r="T203" s="0" t="n">
        <f aca="false">IF(E203=2023,1,0)</f>
        <v>0</v>
      </c>
      <c r="U203" s="0" t="n">
        <f aca="false">IF(E203=2024,1,0)</f>
        <v>1</v>
      </c>
    </row>
    <row r="204" customFormat="false" ht="15" hidden="false" customHeight="false" outlineLevel="0" collapsed="false">
      <c r="A204" s="1" t="s">
        <v>10</v>
      </c>
      <c r="B204" s="0" t="n">
        <v>10</v>
      </c>
      <c r="C204" s="0" t="n">
        <v>60</v>
      </c>
      <c r="D204" s="0" t="n">
        <v>1973</v>
      </c>
      <c r="E204" s="0" t="n">
        <v>2024</v>
      </c>
      <c r="F204" s="1" t="s">
        <v>19</v>
      </c>
      <c r="G204" s="0" t="n">
        <v>40000000</v>
      </c>
      <c r="H204" s="0" t="n">
        <f aca="false">LN(G204/C204)</f>
        <v>13.4100454498561</v>
      </c>
      <c r="I204" s="0" t="n">
        <f aca="false">B204</f>
        <v>10</v>
      </c>
      <c r="J204" s="0" t="n">
        <f aca="false">E204-D204</f>
        <v>51</v>
      </c>
      <c r="K204" s="0" t="n">
        <f aca="false">C204</f>
        <v>60</v>
      </c>
      <c r="L204" s="0" t="n">
        <f aca="false">IF(F204="改装済み",1,0)</f>
        <v>0</v>
      </c>
      <c r="M204" s="0" t="n">
        <f aca="false">IF(A204="池尻大橋",1,0)</f>
        <v>0</v>
      </c>
      <c r="N204" s="0" t="n">
        <f aca="false">IF(A204="三軒茶屋",1,0)</f>
        <v>1</v>
      </c>
      <c r="O204" s="0" t="n">
        <f aca="false">IF(A204="駒沢大学",1,0)</f>
        <v>0</v>
      </c>
      <c r="P204" s="0" t="n">
        <f aca="false">IF(A204="桜新町",1,0)</f>
        <v>0</v>
      </c>
      <c r="Q204" s="0" t="n">
        <f aca="false">IF(A204="二子玉川",1,0)</f>
        <v>0</v>
      </c>
      <c r="R204" s="0" t="n">
        <f aca="false">IF(E204=2021,1,0)</f>
        <v>0</v>
      </c>
      <c r="S204" s="0" t="n">
        <f aca="false">IF(E204=2022,1,0)</f>
        <v>0</v>
      </c>
      <c r="T204" s="0" t="n">
        <f aca="false">IF(E204=2023,1,0)</f>
        <v>0</v>
      </c>
      <c r="U204" s="0" t="n">
        <f aca="false">IF(E204=2024,1,0)</f>
        <v>1</v>
      </c>
    </row>
    <row r="205" customFormat="false" ht="15" hidden="false" customHeight="false" outlineLevel="0" collapsed="false">
      <c r="A205" s="1" t="s">
        <v>10</v>
      </c>
      <c r="B205" s="0" t="n">
        <v>10</v>
      </c>
      <c r="C205" s="0" t="n">
        <v>55</v>
      </c>
      <c r="D205" s="0" t="n">
        <v>2007</v>
      </c>
      <c r="E205" s="0" t="n">
        <v>2024</v>
      </c>
      <c r="F205" s="1" t="s">
        <v>18</v>
      </c>
      <c r="G205" s="0" t="n">
        <v>100000000</v>
      </c>
      <c r="H205" s="0" t="n">
        <f aca="false">LN(G205/C205)</f>
        <v>14.4133475587199</v>
      </c>
      <c r="I205" s="0" t="n">
        <f aca="false">B205</f>
        <v>10</v>
      </c>
      <c r="J205" s="0" t="n">
        <f aca="false">E205-D205</f>
        <v>17</v>
      </c>
      <c r="K205" s="0" t="n">
        <f aca="false">C205</f>
        <v>55</v>
      </c>
      <c r="L205" s="0" t="n">
        <f aca="false">IF(F205="改装済み",1,0)</f>
        <v>1</v>
      </c>
      <c r="M205" s="0" t="n">
        <f aca="false">IF(A205="池尻大橋",1,0)</f>
        <v>0</v>
      </c>
      <c r="N205" s="0" t="n">
        <f aca="false">IF(A205="三軒茶屋",1,0)</f>
        <v>1</v>
      </c>
      <c r="O205" s="0" t="n">
        <f aca="false">IF(A205="駒沢大学",1,0)</f>
        <v>0</v>
      </c>
      <c r="P205" s="0" t="n">
        <f aca="false">IF(A205="桜新町",1,0)</f>
        <v>0</v>
      </c>
      <c r="Q205" s="0" t="n">
        <f aca="false">IF(A205="二子玉川",1,0)</f>
        <v>0</v>
      </c>
      <c r="R205" s="0" t="n">
        <f aca="false">IF(E205=2021,1,0)</f>
        <v>0</v>
      </c>
      <c r="S205" s="0" t="n">
        <f aca="false">IF(E205=2022,1,0)</f>
        <v>0</v>
      </c>
      <c r="T205" s="0" t="n">
        <f aca="false">IF(E205=2023,1,0)</f>
        <v>0</v>
      </c>
      <c r="U205" s="0" t="n">
        <f aca="false">IF(E205=2024,1,0)</f>
        <v>1</v>
      </c>
    </row>
    <row r="206" customFormat="false" ht="15" hidden="false" customHeight="false" outlineLevel="0" collapsed="false">
      <c r="A206" s="1" t="s">
        <v>10</v>
      </c>
      <c r="B206" s="0" t="n">
        <v>11</v>
      </c>
      <c r="C206" s="0" t="n">
        <v>50</v>
      </c>
      <c r="D206" s="0" t="n">
        <v>1971</v>
      </c>
      <c r="E206" s="0" t="n">
        <v>2024</v>
      </c>
      <c r="F206" s="1" t="s">
        <v>18</v>
      </c>
      <c r="G206" s="0" t="n">
        <v>43000000</v>
      </c>
      <c r="H206" s="0" t="n">
        <f aca="false">LN(G206/C206)</f>
        <v>13.6646876682297</v>
      </c>
      <c r="I206" s="0" t="n">
        <f aca="false">B206</f>
        <v>11</v>
      </c>
      <c r="J206" s="0" t="n">
        <f aca="false">E206-D206</f>
        <v>53</v>
      </c>
      <c r="K206" s="0" t="n">
        <f aca="false">C206</f>
        <v>50</v>
      </c>
      <c r="L206" s="0" t="n">
        <f aca="false">IF(F206="改装済み",1,0)</f>
        <v>1</v>
      </c>
      <c r="M206" s="0" t="n">
        <f aca="false">IF(A206="池尻大橋",1,0)</f>
        <v>0</v>
      </c>
      <c r="N206" s="0" t="n">
        <f aca="false">IF(A206="三軒茶屋",1,0)</f>
        <v>1</v>
      </c>
      <c r="O206" s="0" t="n">
        <f aca="false">IF(A206="駒沢大学",1,0)</f>
        <v>0</v>
      </c>
      <c r="P206" s="0" t="n">
        <f aca="false">IF(A206="桜新町",1,0)</f>
        <v>0</v>
      </c>
      <c r="Q206" s="0" t="n">
        <f aca="false">IF(A206="二子玉川",1,0)</f>
        <v>0</v>
      </c>
      <c r="R206" s="0" t="n">
        <f aca="false">IF(E206=2021,1,0)</f>
        <v>0</v>
      </c>
      <c r="S206" s="0" t="n">
        <f aca="false">IF(E206=2022,1,0)</f>
        <v>0</v>
      </c>
      <c r="T206" s="0" t="n">
        <f aca="false">IF(E206=2023,1,0)</f>
        <v>0</v>
      </c>
      <c r="U206" s="0" t="n">
        <f aca="false">IF(E206=2024,1,0)</f>
        <v>1</v>
      </c>
    </row>
    <row r="207" customFormat="false" ht="15" hidden="false" customHeight="false" outlineLevel="0" collapsed="false">
      <c r="A207" s="1" t="s">
        <v>10</v>
      </c>
      <c r="B207" s="0" t="n">
        <v>2</v>
      </c>
      <c r="C207" s="0" t="n">
        <v>50</v>
      </c>
      <c r="D207" s="0" t="n">
        <v>2003</v>
      </c>
      <c r="E207" s="0" t="n">
        <v>2024</v>
      </c>
      <c r="F207" s="1" t="s">
        <v>19</v>
      </c>
      <c r="G207" s="0" t="n">
        <v>61000000</v>
      </c>
      <c r="H207" s="0" t="n">
        <f aca="false">LN(G207/C207)</f>
        <v>14.0143614167094</v>
      </c>
      <c r="I207" s="0" t="n">
        <f aca="false">B207</f>
        <v>2</v>
      </c>
      <c r="J207" s="0" t="n">
        <f aca="false">E207-D207</f>
        <v>21</v>
      </c>
      <c r="K207" s="0" t="n">
        <f aca="false">C207</f>
        <v>50</v>
      </c>
      <c r="L207" s="0" t="n">
        <f aca="false">IF(F207="改装済み",1,0)</f>
        <v>0</v>
      </c>
      <c r="M207" s="0" t="n">
        <f aca="false">IF(A207="池尻大橋",1,0)</f>
        <v>0</v>
      </c>
      <c r="N207" s="0" t="n">
        <f aca="false">IF(A207="三軒茶屋",1,0)</f>
        <v>1</v>
      </c>
      <c r="O207" s="0" t="n">
        <f aca="false">IF(A207="駒沢大学",1,0)</f>
        <v>0</v>
      </c>
      <c r="P207" s="0" t="n">
        <f aca="false">IF(A207="桜新町",1,0)</f>
        <v>0</v>
      </c>
      <c r="Q207" s="0" t="n">
        <f aca="false">IF(A207="二子玉川",1,0)</f>
        <v>0</v>
      </c>
      <c r="R207" s="0" t="n">
        <f aca="false">IF(E207=2021,1,0)</f>
        <v>0</v>
      </c>
      <c r="S207" s="0" t="n">
        <f aca="false">IF(E207=2022,1,0)</f>
        <v>0</v>
      </c>
      <c r="T207" s="0" t="n">
        <f aca="false">IF(E207=2023,1,0)</f>
        <v>0</v>
      </c>
      <c r="U207" s="0" t="n">
        <f aca="false">IF(E207=2024,1,0)</f>
        <v>1</v>
      </c>
    </row>
    <row r="208" customFormat="false" ht="15" hidden="false" customHeight="false" outlineLevel="0" collapsed="false">
      <c r="A208" s="1" t="s">
        <v>10</v>
      </c>
      <c r="B208" s="0" t="n">
        <v>9</v>
      </c>
      <c r="C208" s="0" t="n">
        <v>50</v>
      </c>
      <c r="D208" s="0" t="n">
        <v>1985</v>
      </c>
      <c r="E208" s="0" t="n">
        <v>2023</v>
      </c>
      <c r="F208" s="1" t="s">
        <v>18</v>
      </c>
      <c r="G208" s="0" t="n">
        <v>62000000</v>
      </c>
      <c r="H208" s="0" t="n">
        <f aca="false">LN(G208/C208)</f>
        <v>14.0306219375812</v>
      </c>
      <c r="I208" s="0" t="n">
        <f aca="false">B208</f>
        <v>9</v>
      </c>
      <c r="J208" s="0" t="n">
        <f aca="false">E208-D208</f>
        <v>38</v>
      </c>
      <c r="K208" s="0" t="n">
        <f aca="false">C208</f>
        <v>50</v>
      </c>
      <c r="L208" s="0" t="n">
        <f aca="false">IF(F208="改装済み",1,0)</f>
        <v>1</v>
      </c>
      <c r="M208" s="0" t="n">
        <f aca="false">IF(A208="池尻大橋",1,0)</f>
        <v>0</v>
      </c>
      <c r="N208" s="0" t="n">
        <f aca="false">IF(A208="三軒茶屋",1,0)</f>
        <v>1</v>
      </c>
      <c r="O208" s="0" t="n">
        <f aca="false">IF(A208="駒沢大学",1,0)</f>
        <v>0</v>
      </c>
      <c r="P208" s="0" t="n">
        <f aca="false">IF(A208="桜新町",1,0)</f>
        <v>0</v>
      </c>
      <c r="Q208" s="0" t="n">
        <f aca="false">IF(A208="二子玉川",1,0)</f>
        <v>0</v>
      </c>
      <c r="R208" s="0" t="n">
        <f aca="false">IF(E208=2021,1,0)</f>
        <v>0</v>
      </c>
      <c r="S208" s="0" t="n">
        <f aca="false">IF(E208=2022,1,0)</f>
        <v>0</v>
      </c>
      <c r="T208" s="0" t="n">
        <f aca="false">IF(E208=2023,1,0)</f>
        <v>1</v>
      </c>
      <c r="U208" s="0" t="n">
        <f aca="false">IF(E208=2024,1,0)</f>
        <v>0</v>
      </c>
    </row>
    <row r="209" customFormat="false" ht="15" hidden="false" customHeight="false" outlineLevel="0" collapsed="false">
      <c r="A209" s="1" t="s">
        <v>10</v>
      </c>
      <c r="B209" s="0" t="n">
        <v>10</v>
      </c>
      <c r="C209" s="0" t="n">
        <v>55</v>
      </c>
      <c r="D209" s="0" t="n">
        <v>1973</v>
      </c>
      <c r="E209" s="0" t="n">
        <v>2023</v>
      </c>
      <c r="F209" s="1" t="s">
        <v>19</v>
      </c>
      <c r="G209" s="0" t="n">
        <v>33000000</v>
      </c>
      <c r="H209" s="0" t="n">
        <f aca="false">LN(G209/C209)</f>
        <v>13.3046849341983</v>
      </c>
      <c r="I209" s="0" t="n">
        <f aca="false">B209</f>
        <v>10</v>
      </c>
      <c r="J209" s="0" t="n">
        <f aca="false">E209-D209</f>
        <v>50</v>
      </c>
      <c r="K209" s="0" t="n">
        <f aca="false">C209</f>
        <v>55</v>
      </c>
      <c r="L209" s="0" t="n">
        <f aca="false">IF(F209="改装済み",1,0)</f>
        <v>0</v>
      </c>
      <c r="M209" s="0" t="n">
        <f aca="false">IF(A209="池尻大橋",1,0)</f>
        <v>0</v>
      </c>
      <c r="N209" s="0" t="n">
        <f aca="false">IF(A209="三軒茶屋",1,0)</f>
        <v>1</v>
      </c>
      <c r="O209" s="0" t="n">
        <f aca="false">IF(A209="駒沢大学",1,0)</f>
        <v>0</v>
      </c>
      <c r="P209" s="0" t="n">
        <f aca="false">IF(A209="桜新町",1,0)</f>
        <v>0</v>
      </c>
      <c r="Q209" s="0" t="n">
        <f aca="false">IF(A209="二子玉川",1,0)</f>
        <v>0</v>
      </c>
      <c r="R209" s="0" t="n">
        <f aca="false">IF(E209=2021,1,0)</f>
        <v>0</v>
      </c>
      <c r="S209" s="0" t="n">
        <f aca="false">IF(E209=2022,1,0)</f>
        <v>0</v>
      </c>
      <c r="T209" s="0" t="n">
        <f aca="false">IF(E209=2023,1,0)</f>
        <v>1</v>
      </c>
      <c r="U209" s="0" t="n">
        <f aca="false">IF(E209=2024,1,0)</f>
        <v>0</v>
      </c>
    </row>
    <row r="210" customFormat="false" ht="15" hidden="false" customHeight="false" outlineLevel="0" collapsed="false">
      <c r="A210" s="1" t="s">
        <v>10</v>
      </c>
      <c r="B210" s="0" t="n">
        <v>12</v>
      </c>
      <c r="C210" s="0" t="n">
        <v>55</v>
      </c>
      <c r="D210" s="0" t="n">
        <v>2005</v>
      </c>
      <c r="E210" s="0" t="n">
        <v>2023</v>
      </c>
      <c r="F210" s="1" t="s">
        <v>19</v>
      </c>
      <c r="G210" s="0" t="n">
        <v>64000000</v>
      </c>
      <c r="H210" s="0" t="n">
        <f aca="false">LN(G210/C210)</f>
        <v>13.9670604560915</v>
      </c>
      <c r="I210" s="0" t="n">
        <f aca="false">B210</f>
        <v>12</v>
      </c>
      <c r="J210" s="0" t="n">
        <f aca="false">E210-D210</f>
        <v>18</v>
      </c>
      <c r="K210" s="0" t="n">
        <f aca="false">C210</f>
        <v>55</v>
      </c>
      <c r="L210" s="0" t="n">
        <f aca="false">IF(F210="改装済み",1,0)</f>
        <v>0</v>
      </c>
      <c r="M210" s="0" t="n">
        <f aca="false">IF(A210="池尻大橋",1,0)</f>
        <v>0</v>
      </c>
      <c r="N210" s="0" t="n">
        <f aca="false">IF(A210="三軒茶屋",1,0)</f>
        <v>1</v>
      </c>
      <c r="O210" s="0" t="n">
        <f aca="false">IF(A210="駒沢大学",1,0)</f>
        <v>0</v>
      </c>
      <c r="P210" s="0" t="n">
        <f aca="false">IF(A210="桜新町",1,0)</f>
        <v>0</v>
      </c>
      <c r="Q210" s="0" t="n">
        <f aca="false">IF(A210="二子玉川",1,0)</f>
        <v>0</v>
      </c>
      <c r="R210" s="0" t="n">
        <f aca="false">IF(E210=2021,1,0)</f>
        <v>0</v>
      </c>
      <c r="S210" s="0" t="n">
        <f aca="false">IF(E210=2022,1,0)</f>
        <v>0</v>
      </c>
      <c r="T210" s="0" t="n">
        <f aca="false">IF(E210=2023,1,0)</f>
        <v>1</v>
      </c>
      <c r="U210" s="0" t="n">
        <f aca="false">IF(E210=2024,1,0)</f>
        <v>0</v>
      </c>
    </row>
    <row r="211" customFormat="false" ht="15" hidden="false" customHeight="false" outlineLevel="0" collapsed="false">
      <c r="A211" s="1" t="s">
        <v>10</v>
      </c>
      <c r="B211" s="0" t="n">
        <v>6</v>
      </c>
      <c r="C211" s="0" t="n">
        <v>50</v>
      </c>
      <c r="D211" s="0" t="n">
        <v>2014</v>
      </c>
      <c r="E211" s="0" t="n">
        <v>2023</v>
      </c>
      <c r="F211" s="1" t="s">
        <v>19</v>
      </c>
      <c r="G211" s="0" t="n">
        <v>89000000</v>
      </c>
      <c r="H211" s="0" t="n">
        <f aca="false">LN(G211/C211)</f>
        <v>14.3921239222683</v>
      </c>
      <c r="I211" s="0" t="n">
        <f aca="false">B211</f>
        <v>6</v>
      </c>
      <c r="J211" s="0" t="n">
        <f aca="false">E211-D211</f>
        <v>9</v>
      </c>
      <c r="K211" s="0" t="n">
        <f aca="false">C211</f>
        <v>50</v>
      </c>
      <c r="L211" s="0" t="n">
        <f aca="false">IF(F211="改装済み",1,0)</f>
        <v>0</v>
      </c>
      <c r="M211" s="0" t="n">
        <f aca="false">IF(A211="池尻大橋",1,0)</f>
        <v>0</v>
      </c>
      <c r="N211" s="0" t="n">
        <f aca="false">IF(A211="三軒茶屋",1,0)</f>
        <v>1</v>
      </c>
      <c r="O211" s="0" t="n">
        <f aca="false">IF(A211="駒沢大学",1,0)</f>
        <v>0</v>
      </c>
      <c r="P211" s="0" t="n">
        <f aca="false">IF(A211="桜新町",1,0)</f>
        <v>0</v>
      </c>
      <c r="Q211" s="0" t="n">
        <f aca="false">IF(A211="二子玉川",1,0)</f>
        <v>0</v>
      </c>
      <c r="R211" s="0" t="n">
        <f aca="false">IF(E211=2021,1,0)</f>
        <v>0</v>
      </c>
      <c r="S211" s="0" t="n">
        <f aca="false">IF(E211=2022,1,0)</f>
        <v>0</v>
      </c>
      <c r="T211" s="0" t="n">
        <f aca="false">IF(E211=2023,1,0)</f>
        <v>1</v>
      </c>
      <c r="U211" s="0" t="n">
        <f aca="false">IF(E211=2024,1,0)</f>
        <v>0</v>
      </c>
    </row>
    <row r="212" customFormat="false" ht="15" hidden="false" customHeight="false" outlineLevel="0" collapsed="false">
      <c r="A212" s="1" t="s">
        <v>10</v>
      </c>
      <c r="B212" s="0" t="n">
        <v>9</v>
      </c>
      <c r="C212" s="0" t="n">
        <v>65</v>
      </c>
      <c r="D212" s="0" t="n">
        <v>2005</v>
      </c>
      <c r="E212" s="0" t="n">
        <v>2023</v>
      </c>
      <c r="F212" s="1" t="s">
        <v>18</v>
      </c>
      <c r="G212" s="0" t="n">
        <v>90000000</v>
      </c>
      <c r="H212" s="0" t="n">
        <f aca="false">LN(G212/C212)</f>
        <v>14.1409329583989</v>
      </c>
      <c r="I212" s="0" t="n">
        <f aca="false">B212</f>
        <v>9</v>
      </c>
      <c r="J212" s="0" t="n">
        <f aca="false">E212-D212</f>
        <v>18</v>
      </c>
      <c r="K212" s="0" t="n">
        <f aca="false">C212</f>
        <v>65</v>
      </c>
      <c r="L212" s="0" t="n">
        <f aca="false">IF(F212="改装済み",1,0)</f>
        <v>1</v>
      </c>
      <c r="M212" s="0" t="n">
        <f aca="false">IF(A212="池尻大橋",1,0)</f>
        <v>0</v>
      </c>
      <c r="N212" s="0" t="n">
        <f aca="false">IF(A212="三軒茶屋",1,0)</f>
        <v>1</v>
      </c>
      <c r="O212" s="0" t="n">
        <f aca="false">IF(A212="駒沢大学",1,0)</f>
        <v>0</v>
      </c>
      <c r="P212" s="0" t="n">
        <f aca="false">IF(A212="桜新町",1,0)</f>
        <v>0</v>
      </c>
      <c r="Q212" s="0" t="n">
        <f aca="false">IF(A212="二子玉川",1,0)</f>
        <v>0</v>
      </c>
      <c r="R212" s="0" t="n">
        <f aca="false">IF(E212=2021,1,0)</f>
        <v>0</v>
      </c>
      <c r="S212" s="0" t="n">
        <f aca="false">IF(E212=2022,1,0)</f>
        <v>0</v>
      </c>
      <c r="T212" s="0" t="n">
        <f aca="false">IF(E212=2023,1,0)</f>
        <v>1</v>
      </c>
      <c r="U212" s="0" t="n">
        <f aca="false">IF(E212=2024,1,0)</f>
        <v>0</v>
      </c>
    </row>
    <row r="213" customFormat="false" ht="15" hidden="false" customHeight="false" outlineLevel="0" collapsed="false">
      <c r="A213" s="1" t="s">
        <v>10</v>
      </c>
      <c r="B213" s="0" t="n">
        <v>5</v>
      </c>
      <c r="C213" s="0" t="n">
        <v>55</v>
      </c>
      <c r="D213" s="0" t="n">
        <v>1995</v>
      </c>
      <c r="E213" s="0" t="n">
        <v>2023</v>
      </c>
      <c r="F213" s="1" t="s">
        <v>19</v>
      </c>
      <c r="G213" s="0" t="n">
        <v>43000000</v>
      </c>
      <c r="H213" s="0" t="n">
        <f aca="false">LN(G213/C213)</f>
        <v>13.5693774884254</v>
      </c>
      <c r="I213" s="0" t="n">
        <f aca="false">B213</f>
        <v>5</v>
      </c>
      <c r="J213" s="0" t="n">
        <f aca="false">E213-D213</f>
        <v>28</v>
      </c>
      <c r="K213" s="0" t="n">
        <f aca="false">C213</f>
        <v>55</v>
      </c>
      <c r="L213" s="0" t="n">
        <f aca="false">IF(F213="改装済み",1,0)</f>
        <v>0</v>
      </c>
      <c r="M213" s="0" t="n">
        <f aca="false">IF(A213="池尻大橋",1,0)</f>
        <v>0</v>
      </c>
      <c r="N213" s="0" t="n">
        <f aca="false">IF(A213="三軒茶屋",1,0)</f>
        <v>1</v>
      </c>
      <c r="O213" s="0" t="n">
        <f aca="false">IF(A213="駒沢大学",1,0)</f>
        <v>0</v>
      </c>
      <c r="P213" s="0" t="n">
        <f aca="false">IF(A213="桜新町",1,0)</f>
        <v>0</v>
      </c>
      <c r="Q213" s="0" t="n">
        <f aca="false">IF(A213="二子玉川",1,0)</f>
        <v>0</v>
      </c>
      <c r="R213" s="0" t="n">
        <f aca="false">IF(E213=2021,1,0)</f>
        <v>0</v>
      </c>
      <c r="S213" s="0" t="n">
        <f aca="false">IF(E213=2022,1,0)</f>
        <v>0</v>
      </c>
      <c r="T213" s="0" t="n">
        <f aca="false">IF(E213=2023,1,0)</f>
        <v>1</v>
      </c>
      <c r="U213" s="0" t="n">
        <f aca="false">IF(E213=2024,1,0)</f>
        <v>0</v>
      </c>
    </row>
    <row r="214" customFormat="false" ht="15" hidden="false" customHeight="false" outlineLevel="0" collapsed="false">
      <c r="A214" s="1" t="s">
        <v>10</v>
      </c>
      <c r="B214" s="0" t="n">
        <v>12</v>
      </c>
      <c r="C214" s="0" t="n">
        <v>85</v>
      </c>
      <c r="D214" s="0" t="n">
        <v>2004</v>
      </c>
      <c r="E214" s="0" t="n">
        <v>2022</v>
      </c>
      <c r="F214" s="1" t="s">
        <v>19</v>
      </c>
      <c r="G214" s="0" t="n">
        <v>95000000</v>
      </c>
      <c r="H214" s="0" t="n">
        <f aca="false">LN(G214/C214)</f>
        <v>13.9267361930745</v>
      </c>
      <c r="I214" s="0" t="n">
        <f aca="false">B214</f>
        <v>12</v>
      </c>
      <c r="J214" s="0" t="n">
        <f aca="false">E214-D214</f>
        <v>18</v>
      </c>
      <c r="K214" s="0" t="n">
        <f aca="false">C214</f>
        <v>85</v>
      </c>
      <c r="L214" s="0" t="n">
        <f aca="false">IF(F214="改装済み",1,0)</f>
        <v>0</v>
      </c>
      <c r="M214" s="0" t="n">
        <f aca="false">IF(A214="池尻大橋",1,0)</f>
        <v>0</v>
      </c>
      <c r="N214" s="0" t="n">
        <f aca="false">IF(A214="三軒茶屋",1,0)</f>
        <v>1</v>
      </c>
      <c r="O214" s="0" t="n">
        <f aca="false">IF(A214="駒沢大学",1,0)</f>
        <v>0</v>
      </c>
      <c r="P214" s="0" t="n">
        <f aca="false">IF(A214="桜新町",1,0)</f>
        <v>0</v>
      </c>
      <c r="Q214" s="0" t="n">
        <f aca="false">IF(A214="二子玉川",1,0)</f>
        <v>0</v>
      </c>
      <c r="R214" s="0" t="n">
        <f aca="false">IF(E214=2021,1,0)</f>
        <v>0</v>
      </c>
      <c r="S214" s="0" t="n">
        <f aca="false">IF(E214=2022,1,0)</f>
        <v>1</v>
      </c>
      <c r="T214" s="0" t="n">
        <f aca="false">IF(E214=2023,1,0)</f>
        <v>0</v>
      </c>
      <c r="U214" s="0" t="n">
        <f aca="false">IF(E214=2024,1,0)</f>
        <v>0</v>
      </c>
    </row>
    <row r="215" customFormat="false" ht="15" hidden="false" customHeight="false" outlineLevel="0" collapsed="false">
      <c r="A215" s="1" t="s">
        <v>10</v>
      </c>
      <c r="B215" s="0" t="n">
        <v>7</v>
      </c>
      <c r="C215" s="0" t="n">
        <v>80</v>
      </c>
      <c r="D215" s="0" t="n">
        <v>1995</v>
      </c>
      <c r="E215" s="0" t="n">
        <v>2022</v>
      </c>
      <c r="F215" s="1" t="s">
        <v>19</v>
      </c>
      <c r="G215" s="0" t="n">
        <v>93000000</v>
      </c>
      <c r="H215" s="0" t="n">
        <f aca="false">LN(G215/C215)</f>
        <v>13.9660834164436</v>
      </c>
      <c r="I215" s="0" t="n">
        <f aca="false">B215</f>
        <v>7</v>
      </c>
      <c r="J215" s="0" t="n">
        <f aca="false">E215-D215</f>
        <v>27</v>
      </c>
      <c r="K215" s="0" t="n">
        <f aca="false">C215</f>
        <v>80</v>
      </c>
      <c r="L215" s="0" t="n">
        <f aca="false">IF(F215="改装済み",1,0)</f>
        <v>0</v>
      </c>
      <c r="M215" s="0" t="n">
        <f aca="false">IF(A215="池尻大橋",1,0)</f>
        <v>0</v>
      </c>
      <c r="N215" s="0" t="n">
        <f aca="false">IF(A215="三軒茶屋",1,0)</f>
        <v>1</v>
      </c>
      <c r="O215" s="0" t="n">
        <f aca="false">IF(A215="駒沢大学",1,0)</f>
        <v>0</v>
      </c>
      <c r="P215" s="0" t="n">
        <f aca="false">IF(A215="桜新町",1,0)</f>
        <v>0</v>
      </c>
      <c r="Q215" s="0" t="n">
        <f aca="false">IF(A215="二子玉川",1,0)</f>
        <v>0</v>
      </c>
      <c r="R215" s="0" t="n">
        <f aca="false">IF(E215=2021,1,0)</f>
        <v>0</v>
      </c>
      <c r="S215" s="0" t="n">
        <f aca="false">IF(E215=2022,1,0)</f>
        <v>1</v>
      </c>
      <c r="T215" s="0" t="n">
        <f aca="false">IF(E215=2023,1,0)</f>
        <v>0</v>
      </c>
      <c r="U215" s="0" t="n">
        <f aca="false">IF(E215=2024,1,0)</f>
        <v>0</v>
      </c>
    </row>
    <row r="216" customFormat="false" ht="15" hidden="false" customHeight="false" outlineLevel="0" collapsed="false">
      <c r="A216" s="1" t="s">
        <v>10</v>
      </c>
      <c r="B216" s="0" t="n">
        <v>7</v>
      </c>
      <c r="C216" s="0" t="n">
        <v>70</v>
      </c>
      <c r="D216" s="0" t="n">
        <v>2014</v>
      </c>
      <c r="E216" s="0" t="n">
        <v>2022</v>
      </c>
      <c r="F216" s="1" t="s">
        <v>19</v>
      </c>
      <c r="G216" s="0" t="n">
        <v>70000000</v>
      </c>
      <c r="H216" s="0" t="n">
        <f aca="false">LN(G216/C216)</f>
        <v>13.8155105579643</v>
      </c>
      <c r="I216" s="0" t="n">
        <f aca="false">B216</f>
        <v>7</v>
      </c>
      <c r="J216" s="0" t="n">
        <f aca="false">E216-D216</f>
        <v>8</v>
      </c>
      <c r="K216" s="0" t="n">
        <f aca="false">C216</f>
        <v>70</v>
      </c>
      <c r="L216" s="0" t="n">
        <f aca="false">IF(F216="改装済み",1,0)</f>
        <v>0</v>
      </c>
      <c r="M216" s="0" t="n">
        <f aca="false">IF(A216="池尻大橋",1,0)</f>
        <v>0</v>
      </c>
      <c r="N216" s="0" t="n">
        <f aca="false">IF(A216="三軒茶屋",1,0)</f>
        <v>1</v>
      </c>
      <c r="O216" s="0" t="n">
        <f aca="false">IF(A216="駒沢大学",1,0)</f>
        <v>0</v>
      </c>
      <c r="P216" s="0" t="n">
        <f aca="false">IF(A216="桜新町",1,0)</f>
        <v>0</v>
      </c>
      <c r="Q216" s="0" t="n">
        <f aca="false">IF(A216="二子玉川",1,0)</f>
        <v>0</v>
      </c>
      <c r="R216" s="0" t="n">
        <f aca="false">IF(E216=2021,1,0)</f>
        <v>0</v>
      </c>
      <c r="S216" s="0" t="n">
        <f aca="false">IF(E216=2022,1,0)</f>
        <v>1</v>
      </c>
      <c r="T216" s="0" t="n">
        <f aca="false">IF(E216=2023,1,0)</f>
        <v>0</v>
      </c>
      <c r="U216" s="0" t="n">
        <f aca="false">IF(E216=2024,1,0)</f>
        <v>0</v>
      </c>
    </row>
    <row r="217" customFormat="false" ht="15" hidden="false" customHeight="false" outlineLevel="0" collapsed="false">
      <c r="A217" s="1" t="s">
        <v>10</v>
      </c>
      <c r="B217" s="0" t="n">
        <v>7</v>
      </c>
      <c r="C217" s="0" t="n">
        <v>50</v>
      </c>
      <c r="D217" s="0" t="n">
        <v>2014</v>
      </c>
      <c r="E217" s="0" t="n">
        <v>2022</v>
      </c>
      <c r="F217" s="1" t="s">
        <v>19</v>
      </c>
      <c r="G217" s="0" t="n">
        <v>78000000</v>
      </c>
      <c r="H217" s="0" t="n">
        <f aca="false">LN(G217/C217)</f>
        <v>14.2601963792257</v>
      </c>
      <c r="I217" s="0" t="n">
        <f aca="false">B217</f>
        <v>7</v>
      </c>
      <c r="J217" s="0" t="n">
        <f aca="false">E217-D217</f>
        <v>8</v>
      </c>
      <c r="K217" s="0" t="n">
        <f aca="false">C217</f>
        <v>50</v>
      </c>
      <c r="L217" s="0" t="n">
        <f aca="false">IF(F217="改装済み",1,0)</f>
        <v>0</v>
      </c>
      <c r="M217" s="0" t="n">
        <f aca="false">IF(A217="池尻大橋",1,0)</f>
        <v>0</v>
      </c>
      <c r="N217" s="0" t="n">
        <f aca="false">IF(A217="三軒茶屋",1,0)</f>
        <v>1</v>
      </c>
      <c r="O217" s="0" t="n">
        <f aca="false">IF(A217="駒沢大学",1,0)</f>
        <v>0</v>
      </c>
      <c r="P217" s="0" t="n">
        <f aca="false">IF(A217="桜新町",1,0)</f>
        <v>0</v>
      </c>
      <c r="Q217" s="0" t="n">
        <f aca="false">IF(A217="二子玉川",1,0)</f>
        <v>0</v>
      </c>
      <c r="R217" s="0" t="n">
        <f aca="false">IF(E217=2021,1,0)</f>
        <v>0</v>
      </c>
      <c r="S217" s="0" t="n">
        <f aca="false">IF(E217=2022,1,0)</f>
        <v>1</v>
      </c>
      <c r="T217" s="0" t="n">
        <f aca="false">IF(E217=2023,1,0)</f>
        <v>0</v>
      </c>
      <c r="U217" s="0" t="n">
        <f aca="false">IF(E217=2024,1,0)</f>
        <v>0</v>
      </c>
    </row>
    <row r="218" customFormat="false" ht="15" hidden="false" customHeight="false" outlineLevel="0" collapsed="false">
      <c r="A218" s="1" t="s">
        <v>10</v>
      </c>
      <c r="B218" s="0" t="n">
        <v>8</v>
      </c>
      <c r="C218" s="0" t="n">
        <v>85</v>
      </c>
      <c r="D218" s="0" t="n">
        <v>2010</v>
      </c>
      <c r="E218" s="0" t="n">
        <v>2022</v>
      </c>
      <c r="F218" s="1" t="s">
        <v>18</v>
      </c>
      <c r="G218" s="0" t="n">
        <v>120000000</v>
      </c>
      <c r="H218" s="0" t="n">
        <f aca="false">LN(G218/C218)</f>
        <v>14.160351044256</v>
      </c>
      <c r="I218" s="0" t="n">
        <f aca="false">B218</f>
        <v>8</v>
      </c>
      <c r="J218" s="0" t="n">
        <f aca="false">E218-D218</f>
        <v>12</v>
      </c>
      <c r="K218" s="0" t="n">
        <f aca="false">C218</f>
        <v>85</v>
      </c>
      <c r="L218" s="0" t="n">
        <f aca="false">IF(F218="改装済み",1,0)</f>
        <v>1</v>
      </c>
      <c r="M218" s="0" t="n">
        <f aca="false">IF(A218="池尻大橋",1,0)</f>
        <v>0</v>
      </c>
      <c r="N218" s="0" t="n">
        <f aca="false">IF(A218="三軒茶屋",1,0)</f>
        <v>1</v>
      </c>
      <c r="O218" s="0" t="n">
        <f aca="false">IF(A218="駒沢大学",1,0)</f>
        <v>0</v>
      </c>
      <c r="P218" s="0" t="n">
        <f aca="false">IF(A218="桜新町",1,0)</f>
        <v>0</v>
      </c>
      <c r="Q218" s="0" t="n">
        <f aca="false">IF(A218="二子玉川",1,0)</f>
        <v>0</v>
      </c>
      <c r="R218" s="0" t="n">
        <f aca="false">IF(E218=2021,1,0)</f>
        <v>0</v>
      </c>
      <c r="S218" s="0" t="n">
        <f aca="false">IF(E218=2022,1,0)</f>
        <v>1</v>
      </c>
      <c r="T218" s="0" t="n">
        <f aca="false">IF(E218=2023,1,0)</f>
        <v>0</v>
      </c>
      <c r="U218" s="0" t="n">
        <f aca="false">IF(E218=2024,1,0)</f>
        <v>0</v>
      </c>
    </row>
    <row r="219" customFormat="false" ht="15" hidden="false" customHeight="false" outlineLevel="0" collapsed="false">
      <c r="A219" s="1" t="s">
        <v>10</v>
      </c>
      <c r="B219" s="0" t="n">
        <v>7</v>
      </c>
      <c r="C219" s="0" t="n">
        <v>50</v>
      </c>
      <c r="D219" s="0" t="n">
        <v>1995</v>
      </c>
      <c r="E219" s="0" t="n">
        <v>2022</v>
      </c>
      <c r="F219" s="1" t="s">
        <v>18</v>
      </c>
      <c r="G219" s="0" t="n">
        <v>58000000</v>
      </c>
      <c r="H219" s="0" t="n">
        <f aca="false">LN(G219/C219)</f>
        <v>13.9639305630825</v>
      </c>
      <c r="I219" s="0" t="n">
        <f aca="false">B219</f>
        <v>7</v>
      </c>
      <c r="J219" s="0" t="n">
        <f aca="false">E219-D219</f>
        <v>27</v>
      </c>
      <c r="K219" s="0" t="n">
        <f aca="false">C219</f>
        <v>50</v>
      </c>
      <c r="L219" s="0" t="n">
        <f aca="false">IF(F219="改装済み",1,0)</f>
        <v>1</v>
      </c>
      <c r="M219" s="0" t="n">
        <f aca="false">IF(A219="池尻大橋",1,0)</f>
        <v>0</v>
      </c>
      <c r="N219" s="0" t="n">
        <f aca="false">IF(A219="三軒茶屋",1,0)</f>
        <v>1</v>
      </c>
      <c r="O219" s="0" t="n">
        <f aca="false">IF(A219="駒沢大学",1,0)</f>
        <v>0</v>
      </c>
      <c r="P219" s="0" t="n">
        <f aca="false">IF(A219="桜新町",1,0)</f>
        <v>0</v>
      </c>
      <c r="Q219" s="0" t="n">
        <f aca="false">IF(A219="二子玉川",1,0)</f>
        <v>0</v>
      </c>
      <c r="R219" s="0" t="n">
        <f aca="false">IF(E219=2021,1,0)</f>
        <v>0</v>
      </c>
      <c r="S219" s="0" t="n">
        <f aca="false">IF(E219=2022,1,0)</f>
        <v>1</v>
      </c>
      <c r="T219" s="0" t="n">
        <f aca="false">IF(E219=2023,1,0)</f>
        <v>0</v>
      </c>
      <c r="U219" s="0" t="n">
        <f aca="false">IF(E219=2024,1,0)</f>
        <v>0</v>
      </c>
    </row>
    <row r="220" customFormat="false" ht="15" hidden="false" customHeight="false" outlineLevel="0" collapsed="false">
      <c r="A220" s="1" t="s">
        <v>10</v>
      </c>
      <c r="B220" s="0" t="n">
        <v>6</v>
      </c>
      <c r="C220" s="0" t="n">
        <v>50</v>
      </c>
      <c r="D220" s="0" t="n">
        <v>1995</v>
      </c>
      <c r="E220" s="0" t="n">
        <v>2021</v>
      </c>
      <c r="F220" s="1" t="s">
        <v>19</v>
      </c>
      <c r="G220" s="0" t="n">
        <v>51000000</v>
      </c>
      <c r="H220" s="0" t="n">
        <f aca="false">LN(G220/C220)</f>
        <v>13.8353131852605</v>
      </c>
      <c r="I220" s="0" t="n">
        <f aca="false">B220</f>
        <v>6</v>
      </c>
      <c r="J220" s="0" t="n">
        <f aca="false">E220-D220</f>
        <v>26</v>
      </c>
      <c r="K220" s="0" t="n">
        <f aca="false">C220</f>
        <v>50</v>
      </c>
      <c r="L220" s="0" t="n">
        <f aca="false">IF(F220="改装済み",1,0)</f>
        <v>0</v>
      </c>
      <c r="M220" s="0" t="n">
        <f aca="false">IF(A220="池尻大橋",1,0)</f>
        <v>0</v>
      </c>
      <c r="N220" s="0" t="n">
        <f aca="false">IF(A220="三軒茶屋",1,0)</f>
        <v>1</v>
      </c>
      <c r="O220" s="0" t="n">
        <f aca="false">IF(A220="駒沢大学",1,0)</f>
        <v>0</v>
      </c>
      <c r="P220" s="0" t="n">
        <f aca="false">IF(A220="桜新町",1,0)</f>
        <v>0</v>
      </c>
      <c r="Q220" s="0" t="n">
        <f aca="false">IF(A220="二子玉川",1,0)</f>
        <v>0</v>
      </c>
      <c r="R220" s="0" t="n">
        <f aca="false">IF(E220=2021,1,0)</f>
        <v>1</v>
      </c>
      <c r="S220" s="0" t="n">
        <f aca="false">IF(E220=2022,1,0)</f>
        <v>0</v>
      </c>
      <c r="T220" s="0" t="n">
        <f aca="false">IF(E220=2023,1,0)</f>
        <v>0</v>
      </c>
      <c r="U220" s="0" t="n">
        <f aca="false">IF(E220=2024,1,0)</f>
        <v>0</v>
      </c>
    </row>
    <row r="221" customFormat="false" ht="15" hidden="false" customHeight="false" outlineLevel="0" collapsed="false">
      <c r="A221" s="1" t="s">
        <v>10</v>
      </c>
      <c r="B221" s="0" t="n">
        <v>6</v>
      </c>
      <c r="C221" s="0" t="n">
        <v>50</v>
      </c>
      <c r="D221" s="0" t="n">
        <v>2014</v>
      </c>
      <c r="E221" s="0" t="n">
        <v>2021</v>
      </c>
      <c r="F221" s="1" t="s">
        <v>19</v>
      </c>
      <c r="G221" s="0" t="n">
        <v>76000000</v>
      </c>
      <c r="H221" s="0" t="n">
        <f aca="false">LN(G221/C221)</f>
        <v>14.2342208928225</v>
      </c>
      <c r="I221" s="0" t="n">
        <f aca="false">B221</f>
        <v>6</v>
      </c>
      <c r="J221" s="0" t="n">
        <f aca="false">E221-D221</f>
        <v>7</v>
      </c>
      <c r="K221" s="0" t="n">
        <f aca="false">C221</f>
        <v>50</v>
      </c>
      <c r="L221" s="0" t="n">
        <f aca="false">IF(F221="改装済み",1,0)</f>
        <v>0</v>
      </c>
      <c r="M221" s="0" t="n">
        <f aca="false">IF(A221="池尻大橋",1,0)</f>
        <v>0</v>
      </c>
      <c r="N221" s="0" t="n">
        <f aca="false">IF(A221="三軒茶屋",1,0)</f>
        <v>1</v>
      </c>
      <c r="O221" s="0" t="n">
        <f aca="false">IF(A221="駒沢大学",1,0)</f>
        <v>0</v>
      </c>
      <c r="P221" s="0" t="n">
        <f aca="false">IF(A221="桜新町",1,0)</f>
        <v>0</v>
      </c>
      <c r="Q221" s="0" t="n">
        <f aca="false">IF(A221="二子玉川",1,0)</f>
        <v>0</v>
      </c>
      <c r="R221" s="0" t="n">
        <f aca="false">IF(E221=2021,1,0)</f>
        <v>1</v>
      </c>
      <c r="S221" s="0" t="n">
        <f aca="false">IF(E221=2022,1,0)</f>
        <v>0</v>
      </c>
      <c r="T221" s="0" t="n">
        <f aca="false">IF(E221=2023,1,0)</f>
        <v>0</v>
      </c>
      <c r="U221" s="0" t="n">
        <f aca="false">IF(E221=2024,1,0)</f>
        <v>0</v>
      </c>
    </row>
    <row r="222" customFormat="false" ht="15" hidden="false" customHeight="false" outlineLevel="0" collapsed="false">
      <c r="A222" s="1" t="s">
        <v>10</v>
      </c>
      <c r="B222" s="0" t="n">
        <v>12</v>
      </c>
      <c r="C222" s="0" t="n">
        <v>65</v>
      </c>
      <c r="D222" s="0" t="n">
        <v>2004</v>
      </c>
      <c r="E222" s="0" t="n">
        <v>2021</v>
      </c>
      <c r="F222" s="1" t="s">
        <v>19</v>
      </c>
      <c r="G222" s="0" t="n">
        <v>73000000</v>
      </c>
      <c r="H222" s="0" t="n">
        <f aca="false">LN(G222/C222)</f>
        <v>13.931582729217</v>
      </c>
      <c r="I222" s="0" t="n">
        <f aca="false">B222</f>
        <v>12</v>
      </c>
      <c r="J222" s="0" t="n">
        <f aca="false">E222-D222</f>
        <v>17</v>
      </c>
      <c r="K222" s="0" t="n">
        <f aca="false">C222</f>
        <v>65</v>
      </c>
      <c r="L222" s="0" t="n">
        <f aca="false">IF(F222="改装済み",1,0)</f>
        <v>0</v>
      </c>
      <c r="M222" s="0" t="n">
        <f aca="false">IF(A222="池尻大橋",1,0)</f>
        <v>0</v>
      </c>
      <c r="N222" s="0" t="n">
        <f aca="false">IF(A222="三軒茶屋",1,0)</f>
        <v>1</v>
      </c>
      <c r="O222" s="0" t="n">
        <f aca="false">IF(A222="駒沢大学",1,0)</f>
        <v>0</v>
      </c>
      <c r="P222" s="0" t="n">
        <f aca="false">IF(A222="桜新町",1,0)</f>
        <v>0</v>
      </c>
      <c r="Q222" s="0" t="n">
        <f aca="false">IF(A222="二子玉川",1,0)</f>
        <v>0</v>
      </c>
      <c r="R222" s="0" t="n">
        <f aca="false">IF(E222=2021,1,0)</f>
        <v>1</v>
      </c>
      <c r="S222" s="0" t="n">
        <f aca="false">IF(E222=2022,1,0)</f>
        <v>0</v>
      </c>
      <c r="T222" s="0" t="n">
        <f aca="false">IF(E222=2023,1,0)</f>
        <v>0</v>
      </c>
      <c r="U222" s="0" t="n">
        <f aca="false">IF(E222=2024,1,0)</f>
        <v>0</v>
      </c>
    </row>
    <row r="223" customFormat="false" ht="15" hidden="false" customHeight="false" outlineLevel="0" collapsed="false">
      <c r="A223" s="1" t="s">
        <v>10</v>
      </c>
      <c r="B223" s="0" t="n">
        <v>10</v>
      </c>
      <c r="C223" s="0" t="n">
        <v>55</v>
      </c>
      <c r="D223" s="0" t="n">
        <v>1973</v>
      </c>
      <c r="E223" s="0" t="n">
        <v>2021</v>
      </c>
      <c r="F223" s="1" t="s">
        <v>19</v>
      </c>
      <c r="G223" s="0" t="n">
        <v>43000000</v>
      </c>
      <c r="H223" s="0" t="n">
        <f aca="false">LN(G223/C223)</f>
        <v>13.5693774884254</v>
      </c>
      <c r="I223" s="0" t="n">
        <f aca="false">B223</f>
        <v>10</v>
      </c>
      <c r="J223" s="0" t="n">
        <f aca="false">E223-D223</f>
        <v>48</v>
      </c>
      <c r="K223" s="0" t="n">
        <f aca="false">C223</f>
        <v>55</v>
      </c>
      <c r="L223" s="0" t="n">
        <f aca="false">IF(F223="改装済み",1,0)</f>
        <v>0</v>
      </c>
      <c r="M223" s="0" t="n">
        <f aca="false">IF(A223="池尻大橋",1,0)</f>
        <v>0</v>
      </c>
      <c r="N223" s="0" t="n">
        <f aca="false">IF(A223="三軒茶屋",1,0)</f>
        <v>1</v>
      </c>
      <c r="O223" s="0" t="n">
        <f aca="false">IF(A223="駒沢大学",1,0)</f>
        <v>0</v>
      </c>
      <c r="P223" s="0" t="n">
        <f aca="false">IF(A223="桜新町",1,0)</f>
        <v>0</v>
      </c>
      <c r="Q223" s="0" t="n">
        <f aca="false">IF(A223="二子玉川",1,0)</f>
        <v>0</v>
      </c>
      <c r="R223" s="0" t="n">
        <f aca="false">IF(E223=2021,1,0)</f>
        <v>1</v>
      </c>
      <c r="S223" s="0" t="n">
        <f aca="false">IF(E223=2022,1,0)</f>
        <v>0</v>
      </c>
      <c r="T223" s="0" t="n">
        <f aca="false">IF(E223=2023,1,0)</f>
        <v>0</v>
      </c>
      <c r="U223" s="0" t="n">
        <f aca="false">IF(E223=2024,1,0)</f>
        <v>0</v>
      </c>
    </row>
    <row r="224" customFormat="false" ht="15" hidden="false" customHeight="false" outlineLevel="0" collapsed="false">
      <c r="A224" s="1" t="s">
        <v>10</v>
      </c>
      <c r="B224" s="0" t="n">
        <v>7</v>
      </c>
      <c r="C224" s="0" t="n">
        <v>75</v>
      </c>
      <c r="D224" s="0" t="n">
        <v>1995</v>
      </c>
      <c r="E224" s="0" t="n">
        <v>2021</v>
      </c>
      <c r="F224" s="1" t="s">
        <v>18</v>
      </c>
      <c r="G224" s="0" t="n">
        <v>98000000</v>
      </c>
      <c r="H224" s="0" t="n">
        <f aca="false">LN(G224/C224)</f>
        <v>14.0829899230985</v>
      </c>
      <c r="I224" s="0" t="n">
        <f aca="false">B224</f>
        <v>7</v>
      </c>
      <c r="J224" s="0" t="n">
        <f aca="false">E224-D224</f>
        <v>26</v>
      </c>
      <c r="K224" s="0" t="n">
        <f aca="false">C224</f>
        <v>75</v>
      </c>
      <c r="L224" s="0" t="n">
        <f aca="false">IF(F224="改装済み",1,0)</f>
        <v>1</v>
      </c>
      <c r="M224" s="0" t="n">
        <f aca="false">IF(A224="池尻大橋",1,0)</f>
        <v>0</v>
      </c>
      <c r="N224" s="0" t="n">
        <f aca="false">IF(A224="三軒茶屋",1,0)</f>
        <v>1</v>
      </c>
      <c r="O224" s="0" t="n">
        <f aca="false">IF(A224="駒沢大学",1,0)</f>
        <v>0</v>
      </c>
      <c r="P224" s="0" t="n">
        <f aca="false">IF(A224="桜新町",1,0)</f>
        <v>0</v>
      </c>
      <c r="Q224" s="0" t="n">
        <f aca="false">IF(A224="二子玉川",1,0)</f>
        <v>0</v>
      </c>
      <c r="R224" s="0" t="n">
        <f aca="false">IF(E224=2021,1,0)</f>
        <v>1</v>
      </c>
      <c r="S224" s="0" t="n">
        <f aca="false">IF(E224=2022,1,0)</f>
        <v>0</v>
      </c>
      <c r="T224" s="0" t="n">
        <f aca="false">IF(E224=2023,1,0)</f>
        <v>0</v>
      </c>
      <c r="U224" s="0" t="n">
        <f aca="false">IF(E224=2024,1,0)</f>
        <v>0</v>
      </c>
    </row>
    <row r="225" customFormat="false" ht="15" hidden="false" customHeight="false" outlineLevel="0" collapsed="false">
      <c r="A225" s="1" t="s">
        <v>10</v>
      </c>
      <c r="B225" s="0" t="n">
        <v>10</v>
      </c>
      <c r="C225" s="0" t="n">
        <v>50</v>
      </c>
      <c r="D225" s="0" t="n">
        <v>1973</v>
      </c>
      <c r="E225" s="0" t="n">
        <v>2021</v>
      </c>
      <c r="F225" s="1" t="s">
        <v>18</v>
      </c>
      <c r="G225" s="0" t="n">
        <v>39000000</v>
      </c>
      <c r="H225" s="0" t="n">
        <f aca="false">LN(G225/C225)</f>
        <v>13.5670491986658</v>
      </c>
      <c r="I225" s="0" t="n">
        <f aca="false">B225</f>
        <v>10</v>
      </c>
      <c r="J225" s="0" t="n">
        <f aca="false">E225-D225</f>
        <v>48</v>
      </c>
      <c r="K225" s="0" t="n">
        <f aca="false">C225</f>
        <v>50</v>
      </c>
      <c r="L225" s="0" t="n">
        <f aca="false">IF(F225="改装済み",1,0)</f>
        <v>1</v>
      </c>
      <c r="M225" s="0" t="n">
        <f aca="false">IF(A225="池尻大橋",1,0)</f>
        <v>0</v>
      </c>
      <c r="N225" s="0" t="n">
        <f aca="false">IF(A225="三軒茶屋",1,0)</f>
        <v>1</v>
      </c>
      <c r="O225" s="0" t="n">
        <f aca="false">IF(A225="駒沢大学",1,0)</f>
        <v>0</v>
      </c>
      <c r="P225" s="0" t="n">
        <f aca="false">IF(A225="桜新町",1,0)</f>
        <v>0</v>
      </c>
      <c r="Q225" s="0" t="n">
        <f aca="false">IF(A225="二子玉川",1,0)</f>
        <v>0</v>
      </c>
      <c r="R225" s="0" t="n">
        <f aca="false">IF(E225=2021,1,0)</f>
        <v>1</v>
      </c>
      <c r="S225" s="0" t="n">
        <f aca="false">IF(E225=2022,1,0)</f>
        <v>0</v>
      </c>
      <c r="T225" s="0" t="n">
        <f aca="false">IF(E225=2023,1,0)</f>
        <v>0</v>
      </c>
      <c r="U225" s="0" t="n">
        <f aca="false">IF(E225=2024,1,0)</f>
        <v>0</v>
      </c>
    </row>
    <row r="226" customFormat="false" ht="15" hidden="false" customHeight="false" outlineLevel="0" collapsed="false">
      <c r="A226" s="1" t="s">
        <v>10</v>
      </c>
      <c r="B226" s="0" t="n">
        <v>2</v>
      </c>
      <c r="C226" s="0" t="n">
        <v>60</v>
      </c>
      <c r="D226" s="0" t="n">
        <v>2003</v>
      </c>
      <c r="E226" s="0" t="n">
        <v>2021</v>
      </c>
      <c r="F226" s="1" t="s">
        <v>19</v>
      </c>
      <c r="G226" s="0" t="n">
        <v>70000000</v>
      </c>
      <c r="H226" s="0" t="n">
        <f aca="false">LN(G226/C226)</f>
        <v>13.9696612377915</v>
      </c>
      <c r="I226" s="0" t="n">
        <f aca="false">B226</f>
        <v>2</v>
      </c>
      <c r="J226" s="0" t="n">
        <f aca="false">E226-D226</f>
        <v>18</v>
      </c>
      <c r="K226" s="0" t="n">
        <f aca="false">C226</f>
        <v>60</v>
      </c>
      <c r="L226" s="0" t="n">
        <f aca="false">IF(F226="改装済み",1,0)</f>
        <v>0</v>
      </c>
      <c r="M226" s="0" t="n">
        <f aca="false">IF(A226="池尻大橋",1,0)</f>
        <v>0</v>
      </c>
      <c r="N226" s="0" t="n">
        <f aca="false">IF(A226="三軒茶屋",1,0)</f>
        <v>1</v>
      </c>
      <c r="O226" s="0" t="n">
        <f aca="false">IF(A226="駒沢大学",1,0)</f>
        <v>0</v>
      </c>
      <c r="P226" s="0" t="n">
        <f aca="false">IF(A226="桜新町",1,0)</f>
        <v>0</v>
      </c>
      <c r="Q226" s="0" t="n">
        <f aca="false">IF(A226="二子玉川",1,0)</f>
        <v>0</v>
      </c>
      <c r="R226" s="0" t="n">
        <f aca="false">IF(E226=2021,1,0)</f>
        <v>1</v>
      </c>
      <c r="S226" s="0" t="n">
        <f aca="false">IF(E226=2022,1,0)</f>
        <v>0</v>
      </c>
      <c r="T226" s="0" t="n">
        <f aca="false">IF(E226=2023,1,0)</f>
        <v>0</v>
      </c>
      <c r="U226" s="0" t="n">
        <f aca="false">IF(E226=2024,1,0)</f>
        <v>0</v>
      </c>
    </row>
    <row r="227" customFormat="false" ht="15" hidden="false" customHeight="false" outlineLevel="0" collapsed="false">
      <c r="A227" s="1" t="s">
        <v>10</v>
      </c>
      <c r="B227" s="0" t="n">
        <v>6</v>
      </c>
      <c r="C227" s="0" t="n">
        <v>60</v>
      </c>
      <c r="D227" s="0" t="n">
        <v>1995</v>
      </c>
      <c r="E227" s="0" t="n">
        <v>2021</v>
      </c>
      <c r="F227" s="1" t="s">
        <v>19</v>
      </c>
      <c r="G227" s="0" t="n">
        <v>60000000</v>
      </c>
      <c r="H227" s="0" t="n">
        <f aca="false">LN(G227/C227)</f>
        <v>13.8155105579643</v>
      </c>
      <c r="I227" s="0" t="n">
        <f aca="false">B227</f>
        <v>6</v>
      </c>
      <c r="J227" s="0" t="n">
        <f aca="false">E227-D227</f>
        <v>26</v>
      </c>
      <c r="K227" s="0" t="n">
        <f aca="false">C227</f>
        <v>60</v>
      </c>
      <c r="L227" s="0" t="n">
        <f aca="false">IF(F227="改装済み",1,0)</f>
        <v>0</v>
      </c>
      <c r="M227" s="0" t="n">
        <f aca="false">IF(A227="池尻大橋",1,0)</f>
        <v>0</v>
      </c>
      <c r="N227" s="0" t="n">
        <f aca="false">IF(A227="三軒茶屋",1,0)</f>
        <v>1</v>
      </c>
      <c r="O227" s="0" t="n">
        <f aca="false">IF(A227="駒沢大学",1,0)</f>
        <v>0</v>
      </c>
      <c r="P227" s="0" t="n">
        <f aca="false">IF(A227="桜新町",1,0)</f>
        <v>0</v>
      </c>
      <c r="Q227" s="0" t="n">
        <f aca="false">IF(A227="二子玉川",1,0)</f>
        <v>0</v>
      </c>
      <c r="R227" s="0" t="n">
        <f aca="false">IF(E227=2021,1,0)</f>
        <v>1</v>
      </c>
      <c r="S227" s="0" t="n">
        <f aca="false">IF(E227=2022,1,0)</f>
        <v>0</v>
      </c>
      <c r="T227" s="0" t="n">
        <f aca="false">IF(E227=2023,1,0)</f>
        <v>0</v>
      </c>
      <c r="U227" s="0" t="n">
        <f aca="false">IF(E227=2024,1,0)</f>
        <v>0</v>
      </c>
    </row>
    <row r="228" customFormat="false" ht="15" hidden="false" customHeight="false" outlineLevel="0" collapsed="false">
      <c r="A228" s="1" t="s">
        <v>10</v>
      </c>
      <c r="B228" s="0" t="n">
        <v>12</v>
      </c>
      <c r="C228" s="0" t="n">
        <v>60</v>
      </c>
      <c r="D228" s="0" t="n">
        <v>2005</v>
      </c>
      <c r="E228" s="0" t="n">
        <v>2021</v>
      </c>
      <c r="F228" s="1" t="s">
        <v>19</v>
      </c>
      <c r="G228" s="0" t="n">
        <v>59000000</v>
      </c>
      <c r="H228" s="0" t="n">
        <f aca="false">LN(G228/C228)</f>
        <v>13.7987034396479</v>
      </c>
      <c r="I228" s="0" t="n">
        <f aca="false">B228</f>
        <v>12</v>
      </c>
      <c r="J228" s="0" t="n">
        <f aca="false">E228-D228</f>
        <v>16</v>
      </c>
      <c r="K228" s="0" t="n">
        <f aca="false">C228</f>
        <v>60</v>
      </c>
      <c r="L228" s="0" t="n">
        <f aca="false">IF(F228="改装済み",1,0)</f>
        <v>0</v>
      </c>
      <c r="M228" s="0" t="n">
        <f aca="false">IF(A228="池尻大橋",1,0)</f>
        <v>0</v>
      </c>
      <c r="N228" s="0" t="n">
        <f aca="false">IF(A228="三軒茶屋",1,0)</f>
        <v>1</v>
      </c>
      <c r="O228" s="0" t="n">
        <f aca="false">IF(A228="駒沢大学",1,0)</f>
        <v>0</v>
      </c>
      <c r="P228" s="0" t="n">
        <f aca="false">IF(A228="桜新町",1,0)</f>
        <v>0</v>
      </c>
      <c r="Q228" s="0" t="n">
        <f aca="false">IF(A228="二子玉川",1,0)</f>
        <v>0</v>
      </c>
      <c r="R228" s="0" t="n">
        <f aca="false">IF(E228=2021,1,0)</f>
        <v>1</v>
      </c>
      <c r="S228" s="0" t="n">
        <f aca="false">IF(E228=2022,1,0)</f>
        <v>0</v>
      </c>
      <c r="T228" s="0" t="n">
        <f aca="false">IF(E228=2023,1,0)</f>
        <v>0</v>
      </c>
      <c r="U228" s="0" t="n">
        <f aca="false">IF(E228=2024,1,0)</f>
        <v>0</v>
      </c>
    </row>
    <row r="229" customFormat="false" ht="15" hidden="false" customHeight="false" outlineLevel="0" collapsed="false">
      <c r="A229" s="1" t="s">
        <v>10</v>
      </c>
      <c r="B229" s="0" t="n">
        <v>7</v>
      </c>
      <c r="C229" s="0" t="n">
        <v>70</v>
      </c>
      <c r="D229" s="0" t="n">
        <v>2014</v>
      </c>
      <c r="E229" s="0" t="n">
        <v>2021</v>
      </c>
      <c r="F229" s="1" t="s">
        <v>19</v>
      </c>
      <c r="G229" s="0" t="n">
        <v>84000000</v>
      </c>
      <c r="H229" s="0" t="n">
        <f aca="false">LN(G229/C229)</f>
        <v>13.9978321147582</v>
      </c>
      <c r="I229" s="0" t="n">
        <f aca="false">B229</f>
        <v>7</v>
      </c>
      <c r="J229" s="0" t="n">
        <f aca="false">E229-D229</f>
        <v>7</v>
      </c>
      <c r="K229" s="0" t="n">
        <f aca="false">C229</f>
        <v>70</v>
      </c>
      <c r="L229" s="0" t="n">
        <f aca="false">IF(F229="改装済み",1,0)</f>
        <v>0</v>
      </c>
      <c r="M229" s="0" t="n">
        <f aca="false">IF(A229="池尻大橋",1,0)</f>
        <v>0</v>
      </c>
      <c r="N229" s="0" t="n">
        <f aca="false">IF(A229="三軒茶屋",1,0)</f>
        <v>1</v>
      </c>
      <c r="O229" s="0" t="n">
        <f aca="false">IF(A229="駒沢大学",1,0)</f>
        <v>0</v>
      </c>
      <c r="P229" s="0" t="n">
        <f aca="false">IF(A229="桜新町",1,0)</f>
        <v>0</v>
      </c>
      <c r="Q229" s="0" t="n">
        <f aca="false">IF(A229="二子玉川",1,0)</f>
        <v>0</v>
      </c>
      <c r="R229" s="0" t="n">
        <f aca="false">IF(E229=2021,1,0)</f>
        <v>1</v>
      </c>
      <c r="S229" s="0" t="n">
        <f aca="false">IF(E229=2022,1,0)</f>
        <v>0</v>
      </c>
      <c r="T229" s="0" t="n">
        <f aca="false">IF(E229=2023,1,0)</f>
        <v>0</v>
      </c>
      <c r="U229" s="0" t="n">
        <f aca="false">IF(E229=2024,1,0)</f>
        <v>0</v>
      </c>
    </row>
    <row r="230" customFormat="false" ht="15" hidden="false" customHeight="false" outlineLevel="0" collapsed="false">
      <c r="A230" s="1" t="s">
        <v>10</v>
      </c>
      <c r="B230" s="0" t="n">
        <v>2</v>
      </c>
      <c r="C230" s="0" t="n">
        <v>50</v>
      </c>
      <c r="D230" s="0" t="n">
        <v>2003</v>
      </c>
      <c r="E230" s="0" t="n">
        <v>2021</v>
      </c>
      <c r="F230" s="1" t="s">
        <v>19</v>
      </c>
      <c r="G230" s="0" t="n">
        <v>53000000</v>
      </c>
      <c r="H230" s="0" t="n">
        <f aca="false">LN(G230/C230)</f>
        <v>13.8737794660883</v>
      </c>
      <c r="I230" s="0" t="n">
        <f aca="false">B230</f>
        <v>2</v>
      </c>
      <c r="J230" s="0" t="n">
        <f aca="false">E230-D230</f>
        <v>18</v>
      </c>
      <c r="K230" s="0" t="n">
        <f aca="false">C230</f>
        <v>50</v>
      </c>
      <c r="L230" s="0" t="n">
        <f aca="false">IF(F230="改装済み",1,0)</f>
        <v>0</v>
      </c>
      <c r="M230" s="0" t="n">
        <f aca="false">IF(A230="池尻大橋",1,0)</f>
        <v>0</v>
      </c>
      <c r="N230" s="0" t="n">
        <f aca="false">IF(A230="三軒茶屋",1,0)</f>
        <v>1</v>
      </c>
      <c r="O230" s="0" t="n">
        <f aca="false">IF(A230="駒沢大学",1,0)</f>
        <v>0</v>
      </c>
      <c r="P230" s="0" t="n">
        <f aca="false">IF(A230="桜新町",1,0)</f>
        <v>0</v>
      </c>
      <c r="Q230" s="0" t="n">
        <f aca="false">IF(A230="二子玉川",1,0)</f>
        <v>0</v>
      </c>
      <c r="R230" s="0" t="n">
        <f aca="false">IF(E230=2021,1,0)</f>
        <v>1</v>
      </c>
      <c r="S230" s="0" t="n">
        <f aca="false">IF(E230=2022,1,0)</f>
        <v>0</v>
      </c>
      <c r="T230" s="0" t="n">
        <f aca="false">IF(E230=2023,1,0)</f>
        <v>0</v>
      </c>
      <c r="U230" s="0" t="n">
        <f aca="false">IF(E230=2024,1,0)</f>
        <v>0</v>
      </c>
    </row>
    <row r="231" customFormat="false" ht="15" hidden="false" customHeight="false" outlineLevel="0" collapsed="false">
      <c r="A231" s="1" t="s">
        <v>10</v>
      </c>
      <c r="B231" s="0" t="n">
        <v>13</v>
      </c>
      <c r="C231" s="0" t="n">
        <v>55</v>
      </c>
      <c r="D231" s="0" t="n">
        <v>1998</v>
      </c>
      <c r="E231" s="0" t="n">
        <v>2024</v>
      </c>
      <c r="F231" s="1" t="s">
        <v>18</v>
      </c>
      <c r="G231" s="0" t="n">
        <v>80000000</v>
      </c>
      <c r="H231" s="0" t="n">
        <f aca="false">LN(G231/C231)</f>
        <v>14.1902040074057</v>
      </c>
      <c r="I231" s="0" t="n">
        <f aca="false">B231</f>
        <v>13</v>
      </c>
      <c r="J231" s="0" t="n">
        <f aca="false">E231-D231</f>
        <v>26</v>
      </c>
      <c r="K231" s="0" t="n">
        <f aca="false">C231</f>
        <v>55</v>
      </c>
      <c r="L231" s="0" t="n">
        <f aca="false">IF(F231="改装済み",1,0)</f>
        <v>1</v>
      </c>
      <c r="M231" s="0" t="n">
        <f aca="false">IF(A231="池尻大橋",1,0)</f>
        <v>0</v>
      </c>
      <c r="N231" s="0" t="n">
        <f aca="false">IF(A231="三軒茶屋",1,0)</f>
        <v>1</v>
      </c>
      <c r="O231" s="0" t="n">
        <f aca="false">IF(A231="駒沢大学",1,0)</f>
        <v>0</v>
      </c>
      <c r="P231" s="0" t="n">
        <f aca="false">IF(A231="桜新町",1,0)</f>
        <v>0</v>
      </c>
      <c r="Q231" s="0" t="n">
        <f aca="false">IF(A231="二子玉川",1,0)</f>
        <v>0</v>
      </c>
      <c r="R231" s="0" t="n">
        <f aca="false">IF(E231=2021,1,0)</f>
        <v>0</v>
      </c>
      <c r="S231" s="0" t="n">
        <f aca="false">IF(E231=2022,1,0)</f>
        <v>0</v>
      </c>
      <c r="T231" s="0" t="n">
        <f aca="false">IF(E231=2023,1,0)</f>
        <v>0</v>
      </c>
      <c r="U231" s="0" t="n">
        <f aca="false">IF(E231=2024,1,0)</f>
        <v>1</v>
      </c>
    </row>
    <row r="232" customFormat="false" ht="15" hidden="false" customHeight="false" outlineLevel="0" collapsed="false">
      <c r="A232" s="1" t="s">
        <v>10</v>
      </c>
      <c r="B232" s="0" t="n">
        <v>9</v>
      </c>
      <c r="C232" s="0" t="n">
        <v>50</v>
      </c>
      <c r="D232" s="0" t="n">
        <v>1968</v>
      </c>
      <c r="E232" s="0" t="n">
        <v>2024</v>
      </c>
      <c r="F232" s="1" t="s">
        <v>19</v>
      </c>
      <c r="G232" s="0" t="n">
        <v>30000000</v>
      </c>
      <c r="H232" s="0" t="n">
        <f aca="false">LN(G232/C232)</f>
        <v>13.3046849341983</v>
      </c>
      <c r="I232" s="0" t="n">
        <f aca="false">B232</f>
        <v>9</v>
      </c>
      <c r="J232" s="0" t="n">
        <f aca="false">E232-D232</f>
        <v>56</v>
      </c>
      <c r="K232" s="0" t="n">
        <f aca="false">C232</f>
        <v>50</v>
      </c>
      <c r="L232" s="0" t="n">
        <f aca="false">IF(F232="改装済み",1,0)</f>
        <v>0</v>
      </c>
      <c r="M232" s="0" t="n">
        <f aca="false">IF(A232="池尻大橋",1,0)</f>
        <v>0</v>
      </c>
      <c r="N232" s="0" t="n">
        <f aca="false">IF(A232="三軒茶屋",1,0)</f>
        <v>1</v>
      </c>
      <c r="O232" s="0" t="n">
        <f aca="false">IF(A232="駒沢大学",1,0)</f>
        <v>0</v>
      </c>
      <c r="P232" s="0" t="n">
        <f aca="false">IF(A232="桜新町",1,0)</f>
        <v>0</v>
      </c>
      <c r="Q232" s="0" t="n">
        <f aca="false">IF(A232="二子玉川",1,0)</f>
        <v>0</v>
      </c>
      <c r="R232" s="0" t="n">
        <f aca="false">IF(E232=2021,1,0)</f>
        <v>0</v>
      </c>
      <c r="S232" s="0" t="n">
        <f aca="false">IF(E232=2022,1,0)</f>
        <v>0</v>
      </c>
      <c r="T232" s="0" t="n">
        <f aca="false">IF(E232=2023,1,0)</f>
        <v>0</v>
      </c>
      <c r="U232" s="0" t="n">
        <f aca="false">IF(E232=2024,1,0)</f>
        <v>1</v>
      </c>
    </row>
    <row r="233" customFormat="false" ht="15" hidden="false" customHeight="false" outlineLevel="0" collapsed="false">
      <c r="A233" s="1" t="s">
        <v>10</v>
      </c>
      <c r="B233" s="0" t="n">
        <v>10</v>
      </c>
      <c r="C233" s="0" t="n">
        <v>50</v>
      </c>
      <c r="D233" s="0" t="n">
        <v>1968</v>
      </c>
      <c r="E233" s="0" t="n">
        <v>2022</v>
      </c>
      <c r="F233" s="1" t="s">
        <v>19</v>
      </c>
      <c r="G233" s="0" t="n">
        <v>30000000</v>
      </c>
      <c r="H233" s="0" t="n">
        <f aca="false">LN(G233/C233)</f>
        <v>13.3046849341983</v>
      </c>
      <c r="I233" s="0" t="n">
        <f aca="false">B233</f>
        <v>10</v>
      </c>
      <c r="J233" s="0" t="n">
        <f aca="false">E233-D233</f>
        <v>54</v>
      </c>
      <c r="K233" s="0" t="n">
        <f aca="false">C233</f>
        <v>50</v>
      </c>
      <c r="L233" s="0" t="n">
        <f aca="false">IF(F233="改装済み",1,0)</f>
        <v>0</v>
      </c>
      <c r="M233" s="0" t="n">
        <f aca="false">IF(A233="池尻大橋",1,0)</f>
        <v>0</v>
      </c>
      <c r="N233" s="0" t="n">
        <f aca="false">IF(A233="三軒茶屋",1,0)</f>
        <v>1</v>
      </c>
      <c r="O233" s="0" t="n">
        <f aca="false">IF(A233="駒沢大学",1,0)</f>
        <v>0</v>
      </c>
      <c r="P233" s="0" t="n">
        <f aca="false">IF(A233="桜新町",1,0)</f>
        <v>0</v>
      </c>
      <c r="Q233" s="0" t="n">
        <f aca="false">IF(A233="二子玉川",1,0)</f>
        <v>0</v>
      </c>
      <c r="R233" s="0" t="n">
        <f aca="false">IF(E233=2021,1,0)</f>
        <v>0</v>
      </c>
      <c r="S233" s="0" t="n">
        <f aca="false">IF(E233=2022,1,0)</f>
        <v>1</v>
      </c>
      <c r="T233" s="0" t="n">
        <f aca="false">IF(E233=2023,1,0)</f>
        <v>0</v>
      </c>
      <c r="U233" s="0" t="n">
        <f aca="false">IF(E233=2024,1,0)</f>
        <v>0</v>
      </c>
    </row>
    <row r="234" customFormat="false" ht="15" hidden="false" customHeight="false" outlineLevel="0" collapsed="false">
      <c r="A234" s="1" t="s">
        <v>10</v>
      </c>
      <c r="B234" s="0" t="n">
        <v>10</v>
      </c>
      <c r="C234" s="0" t="n">
        <v>55</v>
      </c>
      <c r="D234" s="0" t="n">
        <v>1985</v>
      </c>
      <c r="E234" s="0" t="n">
        <v>2022</v>
      </c>
      <c r="F234" s="1" t="s">
        <v>19</v>
      </c>
      <c r="G234" s="0" t="n">
        <v>65000000</v>
      </c>
      <c r="H234" s="0" t="n">
        <f aca="false">LN(G234/C234)</f>
        <v>13.9825646426274</v>
      </c>
      <c r="I234" s="0" t="n">
        <f aca="false">B234</f>
        <v>10</v>
      </c>
      <c r="J234" s="0" t="n">
        <f aca="false">E234-D234</f>
        <v>37</v>
      </c>
      <c r="K234" s="0" t="n">
        <f aca="false">C234</f>
        <v>55</v>
      </c>
      <c r="L234" s="0" t="n">
        <f aca="false">IF(F234="改装済み",1,0)</f>
        <v>0</v>
      </c>
      <c r="M234" s="0" t="n">
        <f aca="false">IF(A234="池尻大橋",1,0)</f>
        <v>0</v>
      </c>
      <c r="N234" s="0" t="n">
        <f aca="false">IF(A234="三軒茶屋",1,0)</f>
        <v>1</v>
      </c>
      <c r="O234" s="0" t="n">
        <f aca="false">IF(A234="駒沢大学",1,0)</f>
        <v>0</v>
      </c>
      <c r="P234" s="0" t="n">
        <f aca="false">IF(A234="桜新町",1,0)</f>
        <v>0</v>
      </c>
      <c r="Q234" s="0" t="n">
        <f aca="false">IF(A234="二子玉川",1,0)</f>
        <v>0</v>
      </c>
      <c r="R234" s="0" t="n">
        <f aca="false">IF(E234=2021,1,0)</f>
        <v>0</v>
      </c>
      <c r="S234" s="0" t="n">
        <f aca="false">IF(E234=2022,1,0)</f>
        <v>1</v>
      </c>
      <c r="T234" s="0" t="n">
        <f aca="false">IF(E234=2023,1,0)</f>
        <v>0</v>
      </c>
      <c r="U234" s="0" t="n">
        <f aca="false">IF(E234=2024,1,0)</f>
        <v>0</v>
      </c>
    </row>
    <row r="235" customFormat="false" ht="15" hidden="false" customHeight="false" outlineLevel="0" collapsed="false">
      <c r="A235" s="1" t="s">
        <v>10</v>
      </c>
      <c r="B235" s="0" t="n">
        <v>14</v>
      </c>
      <c r="C235" s="0" t="n">
        <v>50</v>
      </c>
      <c r="D235" s="0" t="n">
        <v>1999</v>
      </c>
      <c r="E235" s="0" t="n">
        <v>2021</v>
      </c>
      <c r="F235" s="1" t="s">
        <v>18</v>
      </c>
      <c r="G235" s="0" t="n">
        <v>54000000</v>
      </c>
      <c r="H235" s="0" t="n">
        <f aca="false">LN(G235/C235)</f>
        <v>13.8924715991004</v>
      </c>
      <c r="I235" s="0" t="n">
        <f aca="false">B235</f>
        <v>14</v>
      </c>
      <c r="J235" s="0" t="n">
        <f aca="false">E235-D235</f>
        <v>22</v>
      </c>
      <c r="K235" s="0" t="n">
        <f aca="false">C235</f>
        <v>50</v>
      </c>
      <c r="L235" s="0" t="n">
        <f aca="false">IF(F235="改装済み",1,0)</f>
        <v>1</v>
      </c>
      <c r="M235" s="0" t="n">
        <f aca="false">IF(A235="池尻大橋",1,0)</f>
        <v>0</v>
      </c>
      <c r="N235" s="0" t="n">
        <f aca="false">IF(A235="三軒茶屋",1,0)</f>
        <v>1</v>
      </c>
      <c r="O235" s="0" t="n">
        <f aca="false">IF(A235="駒沢大学",1,0)</f>
        <v>0</v>
      </c>
      <c r="P235" s="0" t="n">
        <f aca="false">IF(A235="桜新町",1,0)</f>
        <v>0</v>
      </c>
      <c r="Q235" s="0" t="n">
        <f aca="false">IF(A235="二子玉川",1,0)</f>
        <v>0</v>
      </c>
      <c r="R235" s="0" t="n">
        <f aca="false">IF(E235=2021,1,0)</f>
        <v>1</v>
      </c>
      <c r="S235" s="0" t="n">
        <f aca="false">IF(E235=2022,1,0)</f>
        <v>0</v>
      </c>
      <c r="T235" s="0" t="n">
        <f aca="false">IF(E235=2023,1,0)</f>
        <v>0</v>
      </c>
      <c r="U235" s="0" t="n">
        <f aca="false">IF(E235=2024,1,0)</f>
        <v>0</v>
      </c>
    </row>
    <row r="236" customFormat="false" ht="15" hidden="false" customHeight="false" outlineLevel="0" collapsed="false">
      <c r="A236" s="1" t="s">
        <v>10</v>
      </c>
      <c r="B236" s="0" t="n">
        <v>11</v>
      </c>
      <c r="C236" s="0" t="n">
        <v>85</v>
      </c>
      <c r="D236" s="0" t="n">
        <v>1971</v>
      </c>
      <c r="E236" s="0" t="n">
        <v>2021</v>
      </c>
      <c r="F236" s="1" t="s">
        <v>18</v>
      </c>
      <c r="G236" s="0" t="n">
        <v>68000000</v>
      </c>
      <c r="H236" s="0" t="n">
        <f aca="false">LN(G236/C236)</f>
        <v>13.5923670066501</v>
      </c>
      <c r="I236" s="0" t="n">
        <f aca="false">B236</f>
        <v>11</v>
      </c>
      <c r="J236" s="0" t="n">
        <f aca="false">E236-D236</f>
        <v>50</v>
      </c>
      <c r="K236" s="0" t="n">
        <f aca="false">C236</f>
        <v>85</v>
      </c>
      <c r="L236" s="0" t="n">
        <f aca="false">IF(F236="改装済み",1,0)</f>
        <v>1</v>
      </c>
      <c r="M236" s="0" t="n">
        <f aca="false">IF(A236="池尻大橋",1,0)</f>
        <v>0</v>
      </c>
      <c r="N236" s="0" t="n">
        <f aca="false">IF(A236="三軒茶屋",1,0)</f>
        <v>1</v>
      </c>
      <c r="O236" s="0" t="n">
        <f aca="false">IF(A236="駒沢大学",1,0)</f>
        <v>0</v>
      </c>
      <c r="P236" s="0" t="n">
        <f aca="false">IF(A236="桜新町",1,0)</f>
        <v>0</v>
      </c>
      <c r="Q236" s="0" t="n">
        <f aca="false">IF(A236="二子玉川",1,0)</f>
        <v>0</v>
      </c>
      <c r="R236" s="0" t="n">
        <f aca="false">IF(E236=2021,1,0)</f>
        <v>1</v>
      </c>
      <c r="S236" s="0" t="n">
        <f aca="false">IF(E236=2022,1,0)</f>
        <v>0</v>
      </c>
      <c r="T236" s="0" t="n">
        <f aca="false">IF(E236=2023,1,0)</f>
        <v>0</v>
      </c>
      <c r="U236" s="0" t="n">
        <f aca="false">IF(E236=2024,1,0)</f>
        <v>0</v>
      </c>
    </row>
    <row r="237" customFormat="false" ht="15" hidden="false" customHeight="false" outlineLevel="0" collapsed="false">
      <c r="A237" s="1" t="s">
        <v>10</v>
      </c>
      <c r="B237" s="0" t="n">
        <v>10</v>
      </c>
      <c r="C237" s="0" t="n">
        <v>65</v>
      </c>
      <c r="D237" s="0" t="n">
        <v>1985</v>
      </c>
      <c r="E237" s="0" t="n">
        <v>2021</v>
      </c>
      <c r="F237" s="1" t="s">
        <v>18</v>
      </c>
      <c r="G237" s="0" t="n">
        <v>73000000</v>
      </c>
      <c r="H237" s="0" t="n">
        <f aca="false">LN(G237/C237)</f>
        <v>13.931582729217</v>
      </c>
      <c r="I237" s="0" t="n">
        <f aca="false">B237</f>
        <v>10</v>
      </c>
      <c r="J237" s="0" t="n">
        <f aca="false">E237-D237</f>
        <v>36</v>
      </c>
      <c r="K237" s="0" t="n">
        <f aca="false">C237</f>
        <v>65</v>
      </c>
      <c r="L237" s="0" t="n">
        <f aca="false">IF(F237="改装済み",1,0)</f>
        <v>1</v>
      </c>
      <c r="M237" s="0" t="n">
        <f aca="false">IF(A237="池尻大橋",1,0)</f>
        <v>0</v>
      </c>
      <c r="N237" s="0" t="n">
        <f aca="false">IF(A237="三軒茶屋",1,0)</f>
        <v>1</v>
      </c>
      <c r="O237" s="0" t="n">
        <f aca="false">IF(A237="駒沢大学",1,0)</f>
        <v>0</v>
      </c>
      <c r="P237" s="0" t="n">
        <f aca="false">IF(A237="桜新町",1,0)</f>
        <v>0</v>
      </c>
      <c r="Q237" s="0" t="n">
        <f aca="false">IF(A237="二子玉川",1,0)</f>
        <v>0</v>
      </c>
      <c r="R237" s="0" t="n">
        <f aca="false">IF(E237=2021,1,0)</f>
        <v>1</v>
      </c>
      <c r="S237" s="0" t="n">
        <f aca="false">IF(E237=2022,1,0)</f>
        <v>0</v>
      </c>
      <c r="T237" s="0" t="n">
        <f aca="false">IF(E237=2023,1,0)</f>
        <v>0</v>
      </c>
      <c r="U237" s="0" t="n">
        <f aca="false">IF(E237=2024,1,0)</f>
        <v>0</v>
      </c>
    </row>
    <row r="238" customFormat="false" ht="15" hidden="false" customHeight="false" outlineLevel="0" collapsed="false">
      <c r="A238" s="1" t="s">
        <v>12</v>
      </c>
      <c r="B238" s="0" t="n">
        <v>6</v>
      </c>
      <c r="C238" s="0" t="n">
        <v>70</v>
      </c>
      <c r="D238" s="0" t="n">
        <v>2000</v>
      </c>
      <c r="E238" s="0" t="n">
        <v>2025</v>
      </c>
      <c r="F238" s="1" t="s">
        <v>19</v>
      </c>
      <c r="G238" s="0" t="n">
        <v>110000000</v>
      </c>
      <c r="H238" s="0" t="n">
        <f aca="false">LN(G238/C238)</f>
        <v>14.2674956817073</v>
      </c>
      <c r="I238" s="0" t="n">
        <f aca="false">B238</f>
        <v>6</v>
      </c>
      <c r="J238" s="0" t="n">
        <f aca="false">E238-D238</f>
        <v>25</v>
      </c>
      <c r="K238" s="0" t="n">
        <f aca="false">C238</f>
        <v>70</v>
      </c>
      <c r="L238" s="0" t="n">
        <f aca="false">IF(F238="改装済み",1,0)</f>
        <v>0</v>
      </c>
      <c r="M238" s="0" t="n">
        <f aca="false">IF(A238="池尻大橋",1,0)</f>
        <v>0</v>
      </c>
      <c r="N238" s="0" t="n">
        <f aca="false">IF(A238="三軒茶屋",1,0)</f>
        <v>0</v>
      </c>
      <c r="O238" s="0" t="n">
        <f aca="false">IF(A238="駒沢大学",1,0)</f>
        <v>0</v>
      </c>
      <c r="P238" s="0" t="n">
        <f aca="false">IF(A238="桜新町",1,0)</f>
        <v>1</v>
      </c>
      <c r="Q238" s="0" t="n">
        <f aca="false">IF(A238="二子玉川",1,0)</f>
        <v>0</v>
      </c>
      <c r="R238" s="0" t="n">
        <f aca="false">IF(E238=2021,1,0)</f>
        <v>0</v>
      </c>
      <c r="S238" s="0" t="n">
        <f aca="false">IF(E238=2022,1,0)</f>
        <v>0</v>
      </c>
      <c r="T238" s="0" t="n">
        <f aca="false">IF(E238=2023,1,0)</f>
        <v>0</v>
      </c>
      <c r="U238" s="0" t="n">
        <f aca="false">IF(E238=2024,1,0)</f>
        <v>0</v>
      </c>
    </row>
    <row r="239" customFormat="false" ht="15" hidden="false" customHeight="false" outlineLevel="0" collapsed="false">
      <c r="A239" s="1" t="s">
        <v>12</v>
      </c>
      <c r="B239" s="0" t="n">
        <v>3</v>
      </c>
      <c r="C239" s="0" t="n">
        <v>70</v>
      </c>
      <c r="D239" s="0" t="n">
        <v>1979</v>
      </c>
      <c r="E239" s="0" t="n">
        <v>2025</v>
      </c>
      <c r="F239" s="1" t="s">
        <v>19</v>
      </c>
      <c r="G239" s="0" t="n">
        <v>60000000</v>
      </c>
      <c r="H239" s="0" t="n">
        <f aca="false">LN(G239/C239)</f>
        <v>13.661359878137</v>
      </c>
      <c r="I239" s="0" t="n">
        <f aca="false">B239</f>
        <v>3</v>
      </c>
      <c r="J239" s="0" t="n">
        <f aca="false">E239-D239</f>
        <v>46</v>
      </c>
      <c r="K239" s="0" t="n">
        <f aca="false">C239</f>
        <v>70</v>
      </c>
      <c r="L239" s="0" t="n">
        <f aca="false">IF(F239="改装済み",1,0)</f>
        <v>0</v>
      </c>
      <c r="M239" s="0" t="n">
        <f aca="false">IF(A239="池尻大橋",1,0)</f>
        <v>0</v>
      </c>
      <c r="N239" s="0" t="n">
        <f aca="false">IF(A239="三軒茶屋",1,0)</f>
        <v>0</v>
      </c>
      <c r="O239" s="0" t="n">
        <f aca="false">IF(A239="駒沢大学",1,0)</f>
        <v>0</v>
      </c>
      <c r="P239" s="0" t="n">
        <f aca="false">IF(A239="桜新町",1,0)</f>
        <v>1</v>
      </c>
      <c r="Q239" s="0" t="n">
        <f aca="false">IF(A239="二子玉川",1,0)</f>
        <v>0</v>
      </c>
      <c r="R239" s="0" t="n">
        <f aca="false">IF(E239=2021,1,0)</f>
        <v>0</v>
      </c>
      <c r="S239" s="0" t="n">
        <f aca="false">IF(E239=2022,1,0)</f>
        <v>0</v>
      </c>
      <c r="T239" s="0" t="n">
        <f aca="false">IF(E239=2023,1,0)</f>
        <v>0</v>
      </c>
      <c r="U239" s="0" t="n">
        <f aca="false">IF(E239=2024,1,0)</f>
        <v>0</v>
      </c>
    </row>
    <row r="240" customFormat="false" ht="15" hidden="false" customHeight="false" outlineLevel="0" collapsed="false">
      <c r="A240" s="1" t="s">
        <v>12</v>
      </c>
      <c r="B240" s="0" t="n">
        <v>6</v>
      </c>
      <c r="C240" s="0" t="n">
        <v>125</v>
      </c>
      <c r="D240" s="0" t="n">
        <v>1989</v>
      </c>
      <c r="E240" s="0" t="n">
        <v>2024</v>
      </c>
      <c r="F240" s="1" t="s">
        <v>18</v>
      </c>
      <c r="G240" s="0" t="n">
        <v>140000000</v>
      </c>
      <c r="H240" s="0" t="n">
        <f aca="false">LN(G240/C240)</f>
        <v>13.9288392432713</v>
      </c>
      <c r="I240" s="0" t="n">
        <f aca="false">B240</f>
        <v>6</v>
      </c>
      <c r="J240" s="0" t="n">
        <f aca="false">E240-D240</f>
        <v>35</v>
      </c>
      <c r="K240" s="0" t="n">
        <f aca="false">C240</f>
        <v>125</v>
      </c>
      <c r="L240" s="0" t="n">
        <f aca="false">IF(F240="改装済み",1,0)</f>
        <v>1</v>
      </c>
      <c r="M240" s="0" t="n">
        <f aca="false">IF(A240="池尻大橋",1,0)</f>
        <v>0</v>
      </c>
      <c r="N240" s="0" t="n">
        <f aca="false">IF(A240="三軒茶屋",1,0)</f>
        <v>0</v>
      </c>
      <c r="O240" s="0" t="n">
        <f aca="false">IF(A240="駒沢大学",1,0)</f>
        <v>0</v>
      </c>
      <c r="P240" s="0" t="n">
        <f aca="false">IF(A240="桜新町",1,0)</f>
        <v>1</v>
      </c>
      <c r="Q240" s="0" t="n">
        <f aca="false">IF(A240="二子玉川",1,0)</f>
        <v>0</v>
      </c>
      <c r="R240" s="0" t="n">
        <f aca="false">IF(E240=2021,1,0)</f>
        <v>0</v>
      </c>
      <c r="S240" s="0" t="n">
        <f aca="false">IF(E240=2022,1,0)</f>
        <v>0</v>
      </c>
      <c r="T240" s="0" t="n">
        <f aca="false">IF(E240=2023,1,0)</f>
        <v>0</v>
      </c>
      <c r="U240" s="0" t="n">
        <f aca="false">IF(E240=2024,1,0)</f>
        <v>1</v>
      </c>
    </row>
    <row r="241" customFormat="false" ht="15" hidden="false" customHeight="false" outlineLevel="0" collapsed="false">
      <c r="A241" s="1" t="s">
        <v>12</v>
      </c>
      <c r="B241" s="0" t="n">
        <v>8</v>
      </c>
      <c r="C241" s="0" t="n">
        <v>50</v>
      </c>
      <c r="D241" s="0" t="n">
        <v>1985</v>
      </c>
      <c r="E241" s="0" t="n">
        <v>2024</v>
      </c>
      <c r="F241" s="1" t="s">
        <v>18</v>
      </c>
      <c r="G241" s="0" t="n">
        <v>41000000</v>
      </c>
      <c r="H241" s="0" t="n">
        <f aca="false">LN(G241/C241)</f>
        <v>13.6170596192404</v>
      </c>
      <c r="I241" s="0" t="n">
        <f aca="false">B241</f>
        <v>8</v>
      </c>
      <c r="J241" s="0" t="n">
        <f aca="false">E241-D241</f>
        <v>39</v>
      </c>
      <c r="K241" s="0" t="n">
        <f aca="false">C241</f>
        <v>50</v>
      </c>
      <c r="L241" s="0" t="n">
        <f aca="false">IF(F241="改装済み",1,0)</f>
        <v>1</v>
      </c>
      <c r="M241" s="0" t="n">
        <f aca="false">IF(A241="池尻大橋",1,0)</f>
        <v>0</v>
      </c>
      <c r="N241" s="0" t="n">
        <f aca="false">IF(A241="三軒茶屋",1,0)</f>
        <v>0</v>
      </c>
      <c r="O241" s="0" t="n">
        <f aca="false">IF(A241="駒沢大学",1,0)</f>
        <v>0</v>
      </c>
      <c r="P241" s="0" t="n">
        <f aca="false">IF(A241="桜新町",1,0)</f>
        <v>1</v>
      </c>
      <c r="Q241" s="0" t="n">
        <f aca="false">IF(A241="二子玉川",1,0)</f>
        <v>0</v>
      </c>
      <c r="R241" s="0" t="n">
        <f aca="false">IF(E241=2021,1,0)</f>
        <v>0</v>
      </c>
      <c r="S241" s="0" t="n">
        <f aca="false">IF(E241=2022,1,0)</f>
        <v>0</v>
      </c>
      <c r="T241" s="0" t="n">
        <f aca="false">IF(E241=2023,1,0)</f>
        <v>0</v>
      </c>
      <c r="U241" s="0" t="n">
        <f aca="false">IF(E241=2024,1,0)</f>
        <v>1</v>
      </c>
    </row>
    <row r="242" customFormat="false" ht="15" hidden="false" customHeight="false" outlineLevel="0" collapsed="false">
      <c r="A242" s="1" t="s">
        <v>12</v>
      </c>
      <c r="B242" s="0" t="n">
        <v>6</v>
      </c>
      <c r="C242" s="0" t="n">
        <v>100</v>
      </c>
      <c r="D242" s="0" t="n">
        <v>2000</v>
      </c>
      <c r="E242" s="0" t="n">
        <v>2024</v>
      </c>
      <c r="F242" s="1" t="s">
        <v>18</v>
      </c>
      <c r="G242" s="0" t="n">
        <v>150000000</v>
      </c>
      <c r="H242" s="0" t="n">
        <f aca="false">LN(G242/C242)</f>
        <v>14.2209756660724</v>
      </c>
      <c r="I242" s="0" t="n">
        <f aca="false">B242</f>
        <v>6</v>
      </c>
      <c r="J242" s="0" t="n">
        <f aca="false">E242-D242</f>
        <v>24</v>
      </c>
      <c r="K242" s="0" t="n">
        <f aca="false">C242</f>
        <v>100</v>
      </c>
      <c r="L242" s="0" t="n">
        <f aca="false">IF(F242="改装済み",1,0)</f>
        <v>1</v>
      </c>
      <c r="M242" s="0" t="n">
        <f aca="false">IF(A242="池尻大橋",1,0)</f>
        <v>0</v>
      </c>
      <c r="N242" s="0" t="n">
        <f aca="false">IF(A242="三軒茶屋",1,0)</f>
        <v>0</v>
      </c>
      <c r="O242" s="0" t="n">
        <f aca="false">IF(A242="駒沢大学",1,0)</f>
        <v>0</v>
      </c>
      <c r="P242" s="0" t="n">
        <f aca="false">IF(A242="桜新町",1,0)</f>
        <v>1</v>
      </c>
      <c r="Q242" s="0" t="n">
        <f aca="false">IF(A242="二子玉川",1,0)</f>
        <v>0</v>
      </c>
      <c r="R242" s="0" t="n">
        <f aca="false">IF(E242=2021,1,0)</f>
        <v>0</v>
      </c>
      <c r="S242" s="0" t="n">
        <f aca="false">IF(E242=2022,1,0)</f>
        <v>0</v>
      </c>
      <c r="T242" s="0" t="n">
        <f aca="false">IF(E242=2023,1,0)</f>
        <v>0</v>
      </c>
      <c r="U242" s="0" t="n">
        <f aca="false">IF(E242=2024,1,0)</f>
        <v>1</v>
      </c>
    </row>
    <row r="243" customFormat="false" ht="15" hidden="false" customHeight="false" outlineLevel="0" collapsed="false">
      <c r="A243" s="1" t="s">
        <v>12</v>
      </c>
      <c r="B243" s="0" t="n">
        <v>8</v>
      </c>
      <c r="C243" s="0" t="n">
        <v>50</v>
      </c>
      <c r="D243" s="0" t="n">
        <v>1985</v>
      </c>
      <c r="E243" s="0" t="n">
        <v>2024</v>
      </c>
      <c r="F243" s="1" t="s">
        <v>18</v>
      </c>
      <c r="G243" s="0" t="n">
        <v>33000000</v>
      </c>
      <c r="H243" s="0" t="n">
        <f aca="false">LN(G243/C243)</f>
        <v>13.3999951140026</v>
      </c>
      <c r="I243" s="0" t="n">
        <f aca="false">B243</f>
        <v>8</v>
      </c>
      <c r="J243" s="0" t="n">
        <f aca="false">E243-D243</f>
        <v>39</v>
      </c>
      <c r="K243" s="0" t="n">
        <f aca="false">C243</f>
        <v>50</v>
      </c>
      <c r="L243" s="0" t="n">
        <f aca="false">IF(F243="改装済み",1,0)</f>
        <v>1</v>
      </c>
      <c r="M243" s="0" t="n">
        <f aca="false">IF(A243="池尻大橋",1,0)</f>
        <v>0</v>
      </c>
      <c r="N243" s="0" t="n">
        <f aca="false">IF(A243="三軒茶屋",1,0)</f>
        <v>0</v>
      </c>
      <c r="O243" s="0" t="n">
        <f aca="false">IF(A243="駒沢大学",1,0)</f>
        <v>0</v>
      </c>
      <c r="P243" s="0" t="n">
        <f aca="false">IF(A243="桜新町",1,0)</f>
        <v>1</v>
      </c>
      <c r="Q243" s="0" t="n">
        <f aca="false">IF(A243="二子玉川",1,0)</f>
        <v>0</v>
      </c>
      <c r="R243" s="0" t="n">
        <f aca="false">IF(E243=2021,1,0)</f>
        <v>0</v>
      </c>
      <c r="S243" s="0" t="n">
        <f aca="false">IF(E243=2022,1,0)</f>
        <v>0</v>
      </c>
      <c r="T243" s="0" t="n">
        <f aca="false">IF(E243=2023,1,0)</f>
        <v>0</v>
      </c>
      <c r="U243" s="0" t="n">
        <f aca="false">IF(E243=2024,1,0)</f>
        <v>1</v>
      </c>
    </row>
    <row r="244" customFormat="false" ht="15" hidden="false" customHeight="false" outlineLevel="0" collapsed="false">
      <c r="A244" s="1" t="s">
        <v>12</v>
      </c>
      <c r="B244" s="0" t="n">
        <v>7</v>
      </c>
      <c r="C244" s="0" t="n">
        <v>135</v>
      </c>
      <c r="D244" s="0" t="n">
        <v>1986</v>
      </c>
      <c r="E244" s="0" t="n">
        <v>2023</v>
      </c>
      <c r="F244" s="1" t="s">
        <v>19</v>
      </c>
      <c r="G244" s="0" t="n">
        <v>130000000</v>
      </c>
      <c r="H244" s="0" t="n">
        <f aca="false">LN(G244/C244)</f>
        <v>13.7777702299814</v>
      </c>
      <c r="I244" s="0" t="n">
        <f aca="false">B244</f>
        <v>7</v>
      </c>
      <c r="J244" s="0" t="n">
        <f aca="false">E244-D244</f>
        <v>37</v>
      </c>
      <c r="K244" s="0" t="n">
        <f aca="false">C244</f>
        <v>135</v>
      </c>
      <c r="L244" s="0" t="n">
        <f aca="false">IF(F244="改装済み",1,0)</f>
        <v>0</v>
      </c>
      <c r="M244" s="0" t="n">
        <f aca="false">IF(A244="池尻大橋",1,0)</f>
        <v>0</v>
      </c>
      <c r="N244" s="0" t="n">
        <f aca="false">IF(A244="三軒茶屋",1,0)</f>
        <v>0</v>
      </c>
      <c r="O244" s="0" t="n">
        <f aca="false">IF(A244="駒沢大学",1,0)</f>
        <v>0</v>
      </c>
      <c r="P244" s="0" t="n">
        <f aca="false">IF(A244="桜新町",1,0)</f>
        <v>1</v>
      </c>
      <c r="Q244" s="0" t="n">
        <f aca="false">IF(A244="二子玉川",1,0)</f>
        <v>0</v>
      </c>
      <c r="R244" s="0" t="n">
        <f aca="false">IF(E244=2021,1,0)</f>
        <v>0</v>
      </c>
      <c r="S244" s="0" t="n">
        <f aca="false">IF(E244=2022,1,0)</f>
        <v>0</v>
      </c>
      <c r="T244" s="0" t="n">
        <f aca="false">IF(E244=2023,1,0)</f>
        <v>1</v>
      </c>
      <c r="U244" s="0" t="n">
        <f aca="false">IF(E244=2024,1,0)</f>
        <v>0</v>
      </c>
    </row>
    <row r="245" customFormat="false" ht="15" hidden="false" customHeight="false" outlineLevel="0" collapsed="false">
      <c r="A245" s="1" t="s">
        <v>12</v>
      </c>
      <c r="B245" s="0" t="n">
        <v>9</v>
      </c>
      <c r="C245" s="0" t="n">
        <v>65</v>
      </c>
      <c r="D245" s="0" t="n">
        <v>2011</v>
      </c>
      <c r="E245" s="0" t="n">
        <v>2022</v>
      </c>
      <c r="F245" s="1" t="s">
        <v>19</v>
      </c>
      <c r="G245" s="0" t="n">
        <v>85000000</v>
      </c>
      <c r="H245" s="0" t="n">
        <f aca="false">LN(G245/C245)</f>
        <v>14.083774544559</v>
      </c>
      <c r="I245" s="0" t="n">
        <f aca="false">B245</f>
        <v>9</v>
      </c>
      <c r="J245" s="0" t="n">
        <f aca="false">E245-D245</f>
        <v>11</v>
      </c>
      <c r="K245" s="0" t="n">
        <f aca="false">C245</f>
        <v>65</v>
      </c>
      <c r="L245" s="0" t="n">
        <f aca="false">IF(F245="改装済み",1,0)</f>
        <v>0</v>
      </c>
      <c r="M245" s="0" t="n">
        <f aca="false">IF(A245="池尻大橋",1,0)</f>
        <v>0</v>
      </c>
      <c r="N245" s="0" t="n">
        <f aca="false">IF(A245="三軒茶屋",1,0)</f>
        <v>0</v>
      </c>
      <c r="O245" s="0" t="n">
        <f aca="false">IF(A245="駒沢大学",1,0)</f>
        <v>0</v>
      </c>
      <c r="P245" s="0" t="n">
        <f aca="false">IF(A245="桜新町",1,0)</f>
        <v>1</v>
      </c>
      <c r="Q245" s="0" t="n">
        <f aca="false">IF(A245="二子玉川",1,0)</f>
        <v>0</v>
      </c>
      <c r="R245" s="0" t="n">
        <f aca="false">IF(E245=2021,1,0)</f>
        <v>0</v>
      </c>
      <c r="S245" s="0" t="n">
        <f aca="false">IF(E245=2022,1,0)</f>
        <v>1</v>
      </c>
      <c r="T245" s="0" t="n">
        <f aca="false">IF(E245=2023,1,0)</f>
        <v>0</v>
      </c>
      <c r="U245" s="0" t="n">
        <f aca="false">IF(E245=2024,1,0)</f>
        <v>0</v>
      </c>
    </row>
    <row r="246" customFormat="false" ht="15" hidden="false" customHeight="false" outlineLevel="0" collapsed="false">
      <c r="A246" s="1" t="s">
        <v>12</v>
      </c>
      <c r="B246" s="0" t="n">
        <v>7</v>
      </c>
      <c r="C246" s="0" t="n">
        <v>65</v>
      </c>
      <c r="D246" s="0" t="n">
        <v>1986</v>
      </c>
      <c r="E246" s="0" t="n">
        <v>2022</v>
      </c>
      <c r="F246" s="1" t="s">
        <v>19</v>
      </c>
      <c r="G246" s="0" t="n">
        <v>64000000</v>
      </c>
      <c r="H246" s="0" t="n">
        <f aca="false">LN(G246/C246)</f>
        <v>13.8000063714283</v>
      </c>
      <c r="I246" s="0" t="n">
        <f aca="false">B246</f>
        <v>7</v>
      </c>
      <c r="J246" s="0" t="n">
        <f aca="false">E246-D246</f>
        <v>36</v>
      </c>
      <c r="K246" s="0" t="n">
        <f aca="false">C246</f>
        <v>65</v>
      </c>
      <c r="L246" s="0" t="n">
        <f aca="false">IF(F246="改装済み",1,0)</f>
        <v>0</v>
      </c>
      <c r="M246" s="0" t="n">
        <f aca="false">IF(A246="池尻大橋",1,0)</f>
        <v>0</v>
      </c>
      <c r="N246" s="0" t="n">
        <f aca="false">IF(A246="三軒茶屋",1,0)</f>
        <v>0</v>
      </c>
      <c r="O246" s="0" t="n">
        <f aca="false">IF(A246="駒沢大学",1,0)</f>
        <v>0</v>
      </c>
      <c r="P246" s="0" t="n">
        <f aca="false">IF(A246="桜新町",1,0)</f>
        <v>1</v>
      </c>
      <c r="Q246" s="0" t="n">
        <f aca="false">IF(A246="二子玉川",1,0)</f>
        <v>0</v>
      </c>
      <c r="R246" s="0" t="n">
        <f aca="false">IF(E246=2021,1,0)</f>
        <v>0</v>
      </c>
      <c r="S246" s="0" t="n">
        <f aca="false">IF(E246=2022,1,0)</f>
        <v>1</v>
      </c>
      <c r="T246" s="0" t="n">
        <f aca="false">IF(E246=2023,1,0)</f>
        <v>0</v>
      </c>
      <c r="U246" s="0" t="n">
        <f aca="false">IF(E246=2024,1,0)</f>
        <v>0</v>
      </c>
    </row>
    <row r="247" customFormat="false" ht="15" hidden="false" customHeight="false" outlineLevel="0" collapsed="false">
      <c r="A247" s="1" t="s">
        <v>12</v>
      </c>
      <c r="B247" s="0" t="n">
        <v>8</v>
      </c>
      <c r="C247" s="0" t="n">
        <v>70</v>
      </c>
      <c r="D247" s="0" t="n">
        <v>2011</v>
      </c>
      <c r="E247" s="0" t="n">
        <v>2022</v>
      </c>
      <c r="F247" s="1" t="s">
        <v>19</v>
      </c>
      <c r="G247" s="0" t="n">
        <v>89000000</v>
      </c>
      <c r="H247" s="0" t="n">
        <f aca="false">LN(G247/C247)</f>
        <v>14.0556516856471</v>
      </c>
      <c r="I247" s="0" t="n">
        <f aca="false">B247</f>
        <v>8</v>
      </c>
      <c r="J247" s="0" t="n">
        <f aca="false">E247-D247</f>
        <v>11</v>
      </c>
      <c r="K247" s="0" t="n">
        <f aca="false">C247</f>
        <v>70</v>
      </c>
      <c r="L247" s="0" t="n">
        <f aca="false">IF(F247="改装済み",1,0)</f>
        <v>0</v>
      </c>
      <c r="M247" s="0" t="n">
        <f aca="false">IF(A247="池尻大橋",1,0)</f>
        <v>0</v>
      </c>
      <c r="N247" s="0" t="n">
        <f aca="false">IF(A247="三軒茶屋",1,0)</f>
        <v>0</v>
      </c>
      <c r="O247" s="0" t="n">
        <f aca="false">IF(A247="駒沢大学",1,0)</f>
        <v>0</v>
      </c>
      <c r="P247" s="0" t="n">
        <f aca="false">IF(A247="桜新町",1,0)</f>
        <v>1</v>
      </c>
      <c r="Q247" s="0" t="n">
        <f aca="false">IF(A247="二子玉川",1,0)</f>
        <v>0</v>
      </c>
      <c r="R247" s="0" t="n">
        <f aca="false">IF(E247=2021,1,0)</f>
        <v>0</v>
      </c>
      <c r="S247" s="0" t="n">
        <f aca="false">IF(E247=2022,1,0)</f>
        <v>1</v>
      </c>
      <c r="T247" s="0" t="n">
        <f aca="false">IF(E247=2023,1,0)</f>
        <v>0</v>
      </c>
      <c r="U247" s="0" t="n">
        <f aca="false">IF(E247=2024,1,0)</f>
        <v>0</v>
      </c>
    </row>
    <row r="248" customFormat="false" ht="15" hidden="false" customHeight="false" outlineLevel="0" collapsed="false">
      <c r="A248" s="1" t="s">
        <v>12</v>
      </c>
      <c r="B248" s="0" t="n">
        <v>6</v>
      </c>
      <c r="C248" s="0" t="n">
        <v>125</v>
      </c>
      <c r="D248" s="0" t="n">
        <v>1989</v>
      </c>
      <c r="E248" s="0" t="n">
        <v>2021</v>
      </c>
      <c r="F248" s="1" t="s">
        <v>18</v>
      </c>
      <c r="G248" s="0" t="n">
        <v>110000000</v>
      </c>
      <c r="H248" s="0" t="n">
        <f aca="false">LN(G248/C248)</f>
        <v>13.6876771864544</v>
      </c>
      <c r="I248" s="0" t="n">
        <f aca="false">B248</f>
        <v>6</v>
      </c>
      <c r="J248" s="0" t="n">
        <f aca="false">E248-D248</f>
        <v>32</v>
      </c>
      <c r="K248" s="0" t="n">
        <f aca="false">C248</f>
        <v>125</v>
      </c>
      <c r="L248" s="0" t="n">
        <f aca="false">IF(F248="改装済み",1,0)</f>
        <v>1</v>
      </c>
      <c r="M248" s="0" t="n">
        <f aca="false">IF(A248="池尻大橋",1,0)</f>
        <v>0</v>
      </c>
      <c r="N248" s="0" t="n">
        <f aca="false">IF(A248="三軒茶屋",1,0)</f>
        <v>0</v>
      </c>
      <c r="O248" s="0" t="n">
        <f aca="false">IF(A248="駒沢大学",1,0)</f>
        <v>0</v>
      </c>
      <c r="P248" s="0" t="n">
        <f aca="false">IF(A248="桜新町",1,0)</f>
        <v>1</v>
      </c>
      <c r="Q248" s="0" t="n">
        <f aca="false">IF(A248="二子玉川",1,0)</f>
        <v>0</v>
      </c>
      <c r="R248" s="0" t="n">
        <f aca="false">IF(E248=2021,1,0)</f>
        <v>1</v>
      </c>
      <c r="S248" s="0" t="n">
        <f aca="false">IF(E248=2022,1,0)</f>
        <v>0</v>
      </c>
      <c r="T248" s="0" t="n">
        <f aca="false">IF(E248=2023,1,0)</f>
        <v>0</v>
      </c>
      <c r="U248" s="0" t="n">
        <f aca="false">IF(E248=2024,1,0)</f>
        <v>0</v>
      </c>
    </row>
    <row r="249" customFormat="false" ht="15" hidden="false" customHeight="false" outlineLevel="0" collapsed="false">
      <c r="A249" s="1" t="s">
        <v>13</v>
      </c>
      <c r="B249" s="0" t="n">
        <v>7</v>
      </c>
      <c r="C249" s="0" t="n">
        <v>115</v>
      </c>
      <c r="D249" s="0" t="n">
        <v>1999</v>
      </c>
      <c r="E249" s="0" t="n">
        <v>2025</v>
      </c>
      <c r="F249" s="1" t="s">
        <v>19</v>
      </c>
      <c r="G249" s="0" t="n">
        <v>200000000</v>
      </c>
      <c r="H249" s="0" t="n">
        <f aca="false">LN(G249/C249)</f>
        <v>14.3688957961491</v>
      </c>
      <c r="I249" s="0" t="n">
        <f aca="false">B249</f>
        <v>7</v>
      </c>
      <c r="J249" s="0" t="n">
        <f aca="false">E249-D249</f>
        <v>26</v>
      </c>
      <c r="K249" s="0" t="n">
        <f aca="false">C249</f>
        <v>115</v>
      </c>
      <c r="L249" s="0" t="n">
        <f aca="false">IF(F249="改装済み",1,0)</f>
        <v>0</v>
      </c>
      <c r="M249" s="0" t="n">
        <f aca="false">IF(A249="池尻大橋",1,0)</f>
        <v>0</v>
      </c>
      <c r="N249" s="0" t="n">
        <f aca="false">IF(A249="三軒茶屋",1,0)</f>
        <v>0</v>
      </c>
      <c r="O249" s="0" t="n">
        <f aca="false">IF(A249="駒沢大学",1,0)</f>
        <v>0</v>
      </c>
      <c r="P249" s="0" t="n">
        <f aca="false">IF(A249="桜新町",1,0)</f>
        <v>0</v>
      </c>
      <c r="Q249" s="0" t="n">
        <f aca="false">IF(A249="二子玉川",1,0)</f>
        <v>1</v>
      </c>
      <c r="R249" s="0" t="n">
        <f aca="false">IF(E249=2021,1,0)</f>
        <v>0</v>
      </c>
      <c r="S249" s="0" t="n">
        <f aca="false">IF(E249=2022,1,0)</f>
        <v>0</v>
      </c>
      <c r="T249" s="0" t="n">
        <f aca="false">IF(E249=2023,1,0)</f>
        <v>0</v>
      </c>
      <c r="U249" s="0" t="n">
        <f aca="false">IF(E249=2024,1,0)</f>
        <v>0</v>
      </c>
    </row>
    <row r="250" customFormat="false" ht="15" hidden="false" customHeight="false" outlineLevel="0" collapsed="false">
      <c r="A250" s="1" t="s">
        <v>13</v>
      </c>
      <c r="B250" s="0" t="n">
        <v>10</v>
      </c>
      <c r="C250" s="0" t="n">
        <v>60</v>
      </c>
      <c r="D250" s="0" t="n">
        <v>2006</v>
      </c>
      <c r="E250" s="0" t="n">
        <v>2025</v>
      </c>
      <c r="F250" s="1" t="s">
        <v>19</v>
      </c>
      <c r="G250" s="0" t="n">
        <v>88000000</v>
      </c>
      <c r="H250" s="0" t="n">
        <f aca="false">LN(G250/C250)</f>
        <v>14.1985028102204</v>
      </c>
      <c r="I250" s="0" t="n">
        <f aca="false">B250</f>
        <v>10</v>
      </c>
      <c r="J250" s="0" t="n">
        <f aca="false">E250-D250</f>
        <v>19</v>
      </c>
      <c r="K250" s="0" t="n">
        <f aca="false">C250</f>
        <v>60</v>
      </c>
      <c r="L250" s="0" t="n">
        <f aca="false">IF(F250="改装済み",1,0)</f>
        <v>0</v>
      </c>
      <c r="M250" s="0" t="n">
        <f aca="false">IF(A250="池尻大橋",1,0)</f>
        <v>0</v>
      </c>
      <c r="N250" s="0" t="n">
        <f aca="false">IF(A250="三軒茶屋",1,0)</f>
        <v>0</v>
      </c>
      <c r="O250" s="0" t="n">
        <f aca="false">IF(A250="駒沢大学",1,0)</f>
        <v>0</v>
      </c>
      <c r="P250" s="0" t="n">
        <f aca="false">IF(A250="桜新町",1,0)</f>
        <v>0</v>
      </c>
      <c r="Q250" s="0" t="n">
        <f aca="false">IF(A250="二子玉川",1,0)</f>
        <v>1</v>
      </c>
      <c r="R250" s="0" t="n">
        <f aca="false">IF(E250=2021,1,0)</f>
        <v>0</v>
      </c>
      <c r="S250" s="0" t="n">
        <f aca="false">IF(E250=2022,1,0)</f>
        <v>0</v>
      </c>
      <c r="T250" s="0" t="n">
        <f aca="false">IF(E250=2023,1,0)</f>
        <v>0</v>
      </c>
      <c r="U250" s="0" t="n">
        <f aca="false">IF(E250=2024,1,0)</f>
        <v>0</v>
      </c>
    </row>
    <row r="251" customFormat="false" ht="15" hidden="false" customHeight="false" outlineLevel="0" collapsed="false">
      <c r="A251" s="1" t="s">
        <v>13</v>
      </c>
      <c r="B251" s="0" t="n">
        <v>15</v>
      </c>
      <c r="C251" s="0" t="n">
        <v>80</v>
      </c>
      <c r="D251" s="0" t="n">
        <v>1970</v>
      </c>
      <c r="E251" s="0" t="n">
        <v>2025</v>
      </c>
      <c r="F251" s="1" t="s">
        <v>18</v>
      </c>
      <c r="G251" s="0" t="n">
        <v>75000000</v>
      </c>
      <c r="H251" s="0" t="n">
        <f aca="false">LN(G251/C251)</f>
        <v>13.7509720368267</v>
      </c>
      <c r="I251" s="0" t="n">
        <f aca="false">B251</f>
        <v>15</v>
      </c>
      <c r="J251" s="0" t="n">
        <f aca="false">E251-D251</f>
        <v>55</v>
      </c>
      <c r="K251" s="0" t="n">
        <f aca="false">C251</f>
        <v>80</v>
      </c>
      <c r="L251" s="0" t="n">
        <f aca="false">IF(F251="改装済み",1,0)</f>
        <v>1</v>
      </c>
      <c r="M251" s="0" t="n">
        <f aca="false">IF(A251="池尻大橋",1,0)</f>
        <v>0</v>
      </c>
      <c r="N251" s="0" t="n">
        <f aca="false">IF(A251="三軒茶屋",1,0)</f>
        <v>0</v>
      </c>
      <c r="O251" s="0" t="n">
        <f aca="false">IF(A251="駒沢大学",1,0)</f>
        <v>0</v>
      </c>
      <c r="P251" s="0" t="n">
        <f aca="false">IF(A251="桜新町",1,0)</f>
        <v>0</v>
      </c>
      <c r="Q251" s="0" t="n">
        <f aca="false">IF(A251="二子玉川",1,0)</f>
        <v>1</v>
      </c>
      <c r="R251" s="0" t="n">
        <f aca="false">IF(E251=2021,1,0)</f>
        <v>0</v>
      </c>
      <c r="S251" s="0" t="n">
        <f aca="false">IF(E251=2022,1,0)</f>
        <v>0</v>
      </c>
      <c r="T251" s="0" t="n">
        <f aca="false">IF(E251=2023,1,0)</f>
        <v>0</v>
      </c>
      <c r="U251" s="0" t="n">
        <f aca="false">IF(E251=2024,1,0)</f>
        <v>0</v>
      </c>
    </row>
    <row r="252" customFormat="false" ht="15" hidden="false" customHeight="false" outlineLevel="0" collapsed="false">
      <c r="A252" s="1" t="s">
        <v>13</v>
      </c>
      <c r="B252" s="0" t="n">
        <v>11</v>
      </c>
      <c r="C252" s="0" t="n">
        <v>70</v>
      </c>
      <c r="D252" s="0" t="n">
        <v>2015</v>
      </c>
      <c r="E252" s="0" t="n">
        <v>2025</v>
      </c>
      <c r="F252" s="1" t="s">
        <v>19</v>
      </c>
      <c r="G252" s="0" t="n">
        <v>140000000</v>
      </c>
      <c r="H252" s="0" t="n">
        <f aca="false">LN(G252/C252)</f>
        <v>14.5086577385242</v>
      </c>
      <c r="I252" s="0" t="n">
        <f aca="false">B252</f>
        <v>11</v>
      </c>
      <c r="J252" s="0" t="n">
        <f aca="false">E252-D252</f>
        <v>10</v>
      </c>
      <c r="K252" s="0" t="n">
        <f aca="false">C252</f>
        <v>70</v>
      </c>
      <c r="L252" s="0" t="n">
        <f aca="false">IF(F252="改装済み",1,0)</f>
        <v>0</v>
      </c>
      <c r="M252" s="0" t="n">
        <f aca="false">IF(A252="池尻大橋",1,0)</f>
        <v>0</v>
      </c>
      <c r="N252" s="0" t="n">
        <f aca="false">IF(A252="三軒茶屋",1,0)</f>
        <v>0</v>
      </c>
      <c r="O252" s="0" t="n">
        <f aca="false">IF(A252="駒沢大学",1,0)</f>
        <v>0</v>
      </c>
      <c r="P252" s="0" t="n">
        <f aca="false">IF(A252="桜新町",1,0)</f>
        <v>0</v>
      </c>
      <c r="Q252" s="0" t="n">
        <f aca="false">IF(A252="二子玉川",1,0)</f>
        <v>1</v>
      </c>
      <c r="R252" s="0" t="n">
        <f aca="false">IF(E252=2021,1,0)</f>
        <v>0</v>
      </c>
      <c r="S252" s="0" t="n">
        <f aca="false">IF(E252=2022,1,0)</f>
        <v>0</v>
      </c>
      <c r="T252" s="0" t="n">
        <f aca="false">IF(E252=2023,1,0)</f>
        <v>0</v>
      </c>
      <c r="U252" s="0" t="n">
        <f aca="false">IF(E252=2024,1,0)</f>
        <v>0</v>
      </c>
    </row>
    <row r="253" customFormat="false" ht="15" hidden="false" customHeight="false" outlineLevel="0" collapsed="false">
      <c r="A253" s="1" t="s">
        <v>13</v>
      </c>
      <c r="B253" s="0" t="n">
        <v>15</v>
      </c>
      <c r="C253" s="0" t="n">
        <v>75</v>
      </c>
      <c r="D253" s="0" t="n">
        <v>1970</v>
      </c>
      <c r="E253" s="0" t="n">
        <v>2024</v>
      </c>
      <c r="F253" s="1" t="s">
        <v>19</v>
      </c>
      <c r="G253" s="0" t="n">
        <v>56000000</v>
      </c>
      <c r="H253" s="0" t="n">
        <f aca="false">LN(G253/C253)</f>
        <v>13.5233741351631</v>
      </c>
      <c r="I253" s="0" t="n">
        <f aca="false">B253</f>
        <v>15</v>
      </c>
      <c r="J253" s="0" t="n">
        <f aca="false">E253-D253</f>
        <v>54</v>
      </c>
      <c r="K253" s="0" t="n">
        <f aca="false">C253</f>
        <v>75</v>
      </c>
      <c r="L253" s="0" t="n">
        <f aca="false">IF(F253="改装済み",1,0)</f>
        <v>0</v>
      </c>
      <c r="M253" s="0" t="n">
        <f aca="false">IF(A253="池尻大橋",1,0)</f>
        <v>0</v>
      </c>
      <c r="N253" s="0" t="n">
        <f aca="false">IF(A253="三軒茶屋",1,0)</f>
        <v>0</v>
      </c>
      <c r="O253" s="0" t="n">
        <f aca="false">IF(A253="駒沢大学",1,0)</f>
        <v>0</v>
      </c>
      <c r="P253" s="0" t="n">
        <f aca="false">IF(A253="桜新町",1,0)</f>
        <v>0</v>
      </c>
      <c r="Q253" s="0" t="n">
        <f aca="false">IF(A253="二子玉川",1,0)</f>
        <v>1</v>
      </c>
      <c r="R253" s="0" t="n">
        <f aca="false">IF(E253=2021,1,0)</f>
        <v>0</v>
      </c>
      <c r="S253" s="0" t="n">
        <f aca="false">IF(E253=2022,1,0)</f>
        <v>0</v>
      </c>
      <c r="T253" s="0" t="n">
        <f aca="false">IF(E253=2023,1,0)</f>
        <v>0</v>
      </c>
      <c r="U253" s="0" t="n">
        <f aca="false">IF(E253=2024,1,0)</f>
        <v>1</v>
      </c>
    </row>
    <row r="254" customFormat="false" ht="15" hidden="false" customHeight="false" outlineLevel="0" collapsed="false">
      <c r="A254" s="1" t="s">
        <v>13</v>
      </c>
      <c r="B254" s="0" t="n">
        <v>10</v>
      </c>
      <c r="C254" s="0" t="n">
        <v>65</v>
      </c>
      <c r="D254" s="0" t="n">
        <v>2006</v>
      </c>
      <c r="E254" s="0" t="n">
        <v>2024</v>
      </c>
      <c r="F254" s="1" t="s">
        <v>18</v>
      </c>
      <c r="G254" s="0" t="n">
        <v>97000000</v>
      </c>
      <c r="H254" s="0" t="n">
        <f aca="false">LN(G254/C254)</f>
        <v>14.215834266572</v>
      </c>
      <c r="I254" s="0" t="n">
        <f aca="false">B254</f>
        <v>10</v>
      </c>
      <c r="J254" s="0" t="n">
        <f aca="false">E254-D254</f>
        <v>18</v>
      </c>
      <c r="K254" s="0" t="n">
        <f aca="false">C254</f>
        <v>65</v>
      </c>
      <c r="L254" s="0" t="n">
        <f aca="false">IF(F254="改装済み",1,0)</f>
        <v>1</v>
      </c>
      <c r="M254" s="0" t="n">
        <f aca="false">IF(A254="池尻大橋",1,0)</f>
        <v>0</v>
      </c>
      <c r="N254" s="0" t="n">
        <f aca="false">IF(A254="三軒茶屋",1,0)</f>
        <v>0</v>
      </c>
      <c r="O254" s="0" t="n">
        <f aca="false">IF(A254="駒沢大学",1,0)</f>
        <v>0</v>
      </c>
      <c r="P254" s="0" t="n">
        <f aca="false">IF(A254="桜新町",1,0)</f>
        <v>0</v>
      </c>
      <c r="Q254" s="0" t="n">
        <f aca="false">IF(A254="二子玉川",1,0)</f>
        <v>1</v>
      </c>
      <c r="R254" s="0" t="n">
        <f aca="false">IF(E254=2021,1,0)</f>
        <v>0</v>
      </c>
      <c r="S254" s="0" t="n">
        <f aca="false">IF(E254=2022,1,0)</f>
        <v>0</v>
      </c>
      <c r="T254" s="0" t="n">
        <f aca="false">IF(E254=2023,1,0)</f>
        <v>0</v>
      </c>
      <c r="U254" s="0" t="n">
        <f aca="false">IF(E254=2024,1,0)</f>
        <v>1</v>
      </c>
    </row>
    <row r="255" customFormat="false" ht="15" hidden="false" customHeight="false" outlineLevel="0" collapsed="false">
      <c r="A255" s="1" t="s">
        <v>13</v>
      </c>
      <c r="B255" s="0" t="n">
        <v>11</v>
      </c>
      <c r="C255" s="0" t="n">
        <v>70</v>
      </c>
      <c r="D255" s="0" t="n">
        <v>2015</v>
      </c>
      <c r="E255" s="0" t="n">
        <v>2024</v>
      </c>
      <c r="F255" s="1" t="s">
        <v>18</v>
      </c>
      <c r="G255" s="0" t="n">
        <v>130000000</v>
      </c>
      <c r="H255" s="0" t="n">
        <f aca="false">LN(G255/C255)</f>
        <v>14.4345497663705</v>
      </c>
      <c r="I255" s="0" t="n">
        <f aca="false">B255</f>
        <v>11</v>
      </c>
      <c r="J255" s="0" t="n">
        <f aca="false">E255-D255</f>
        <v>9</v>
      </c>
      <c r="K255" s="0" t="n">
        <f aca="false">C255</f>
        <v>70</v>
      </c>
      <c r="L255" s="0" t="n">
        <f aca="false">IF(F255="改装済み",1,0)</f>
        <v>1</v>
      </c>
      <c r="M255" s="0" t="n">
        <f aca="false">IF(A255="池尻大橋",1,0)</f>
        <v>0</v>
      </c>
      <c r="N255" s="0" t="n">
        <f aca="false">IF(A255="三軒茶屋",1,0)</f>
        <v>0</v>
      </c>
      <c r="O255" s="0" t="n">
        <f aca="false">IF(A255="駒沢大学",1,0)</f>
        <v>0</v>
      </c>
      <c r="P255" s="0" t="n">
        <f aca="false">IF(A255="桜新町",1,0)</f>
        <v>0</v>
      </c>
      <c r="Q255" s="0" t="n">
        <f aca="false">IF(A255="二子玉川",1,0)</f>
        <v>1</v>
      </c>
      <c r="R255" s="0" t="n">
        <f aca="false">IF(E255=2021,1,0)</f>
        <v>0</v>
      </c>
      <c r="S255" s="0" t="n">
        <f aca="false">IF(E255=2022,1,0)</f>
        <v>0</v>
      </c>
      <c r="T255" s="0" t="n">
        <f aca="false">IF(E255=2023,1,0)</f>
        <v>0</v>
      </c>
      <c r="U255" s="0" t="n">
        <f aca="false">IF(E255=2024,1,0)</f>
        <v>1</v>
      </c>
    </row>
    <row r="256" customFormat="false" ht="15" hidden="false" customHeight="false" outlineLevel="0" collapsed="false">
      <c r="A256" s="1" t="s">
        <v>13</v>
      </c>
      <c r="B256" s="0" t="n">
        <v>15</v>
      </c>
      <c r="C256" s="0" t="n">
        <v>60</v>
      </c>
      <c r="D256" s="0" t="n">
        <v>1970</v>
      </c>
      <c r="E256" s="0" t="n">
        <v>2024</v>
      </c>
      <c r="F256" s="1" t="s">
        <v>19</v>
      </c>
      <c r="G256" s="0" t="n">
        <v>38000000</v>
      </c>
      <c r="H256" s="0" t="n">
        <f aca="false">LN(G256/C256)</f>
        <v>13.3587521554686</v>
      </c>
      <c r="I256" s="0" t="n">
        <f aca="false">B256</f>
        <v>15</v>
      </c>
      <c r="J256" s="0" t="n">
        <f aca="false">E256-D256</f>
        <v>54</v>
      </c>
      <c r="K256" s="0" t="n">
        <f aca="false">C256</f>
        <v>60</v>
      </c>
      <c r="L256" s="0" t="n">
        <f aca="false">IF(F256="改装済み",1,0)</f>
        <v>0</v>
      </c>
      <c r="M256" s="0" t="n">
        <f aca="false">IF(A256="池尻大橋",1,0)</f>
        <v>0</v>
      </c>
      <c r="N256" s="0" t="n">
        <f aca="false">IF(A256="三軒茶屋",1,0)</f>
        <v>0</v>
      </c>
      <c r="O256" s="0" t="n">
        <f aca="false">IF(A256="駒沢大学",1,0)</f>
        <v>0</v>
      </c>
      <c r="P256" s="0" t="n">
        <f aca="false">IF(A256="桜新町",1,0)</f>
        <v>0</v>
      </c>
      <c r="Q256" s="0" t="n">
        <f aca="false">IF(A256="二子玉川",1,0)</f>
        <v>1</v>
      </c>
      <c r="R256" s="0" t="n">
        <f aca="false">IF(E256=2021,1,0)</f>
        <v>0</v>
      </c>
      <c r="S256" s="0" t="n">
        <f aca="false">IF(E256=2022,1,0)</f>
        <v>0</v>
      </c>
      <c r="T256" s="0" t="n">
        <f aca="false">IF(E256=2023,1,0)</f>
        <v>0</v>
      </c>
      <c r="U256" s="0" t="n">
        <f aca="false">IF(E256=2024,1,0)</f>
        <v>1</v>
      </c>
    </row>
    <row r="257" customFormat="false" ht="15" hidden="false" customHeight="false" outlineLevel="0" collapsed="false">
      <c r="A257" s="1" t="s">
        <v>13</v>
      </c>
      <c r="B257" s="0" t="n">
        <v>5</v>
      </c>
      <c r="C257" s="0" t="n">
        <v>80</v>
      </c>
      <c r="D257" s="0" t="n">
        <v>1999</v>
      </c>
      <c r="E257" s="0" t="n">
        <v>2023</v>
      </c>
      <c r="F257" s="1" t="s">
        <v>19</v>
      </c>
      <c r="G257" s="0" t="n">
        <v>130000000</v>
      </c>
      <c r="H257" s="0" t="n">
        <f aca="false">LN(G257/C257)</f>
        <v>14.301018373746</v>
      </c>
      <c r="I257" s="0" t="n">
        <f aca="false">B257</f>
        <v>5</v>
      </c>
      <c r="J257" s="0" t="n">
        <f aca="false">E257-D257</f>
        <v>24</v>
      </c>
      <c r="K257" s="0" t="n">
        <f aca="false">C257</f>
        <v>80</v>
      </c>
      <c r="L257" s="0" t="n">
        <f aca="false">IF(F257="改装済み",1,0)</f>
        <v>0</v>
      </c>
      <c r="M257" s="0" t="n">
        <f aca="false">IF(A257="池尻大橋",1,0)</f>
        <v>0</v>
      </c>
      <c r="N257" s="0" t="n">
        <f aca="false">IF(A257="三軒茶屋",1,0)</f>
        <v>0</v>
      </c>
      <c r="O257" s="0" t="n">
        <f aca="false">IF(A257="駒沢大学",1,0)</f>
        <v>0</v>
      </c>
      <c r="P257" s="0" t="n">
        <f aca="false">IF(A257="桜新町",1,0)</f>
        <v>0</v>
      </c>
      <c r="Q257" s="0" t="n">
        <f aca="false">IF(A257="二子玉川",1,0)</f>
        <v>1</v>
      </c>
      <c r="R257" s="0" t="n">
        <f aca="false">IF(E257=2021,1,0)</f>
        <v>0</v>
      </c>
      <c r="S257" s="0" t="n">
        <f aca="false">IF(E257=2022,1,0)</f>
        <v>0</v>
      </c>
      <c r="T257" s="0" t="n">
        <f aca="false">IF(E257=2023,1,0)</f>
        <v>1</v>
      </c>
      <c r="U257" s="0" t="n">
        <f aca="false">IF(E257=2024,1,0)</f>
        <v>0</v>
      </c>
    </row>
    <row r="258" customFormat="false" ht="15" hidden="false" customHeight="false" outlineLevel="0" collapsed="false">
      <c r="A258" s="1" t="s">
        <v>13</v>
      </c>
      <c r="B258" s="0" t="n">
        <v>11</v>
      </c>
      <c r="C258" s="0" t="n">
        <v>70</v>
      </c>
      <c r="D258" s="0" t="n">
        <v>1987</v>
      </c>
      <c r="E258" s="0" t="n">
        <v>2022</v>
      </c>
      <c r="F258" s="1" t="s">
        <v>18</v>
      </c>
      <c r="G258" s="0" t="n">
        <v>64000000</v>
      </c>
      <c r="H258" s="0" t="n">
        <f aca="false">LN(G258/C258)</f>
        <v>13.7258983992746</v>
      </c>
      <c r="I258" s="0" t="n">
        <f aca="false">B258</f>
        <v>11</v>
      </c>
      <c r="J258" s="0" t="n">
        <f aca="false">E258-D258</f>
        <v>35</v>
      </c>
      <c r="K258" s="0" t="n">
        <f aca="false">C258</f>
        <v>70</v>
      </c>
      <c r="L258" s="0" t="n">
        <f aca="false">IF(F258="改装済み",1,0)</f>
        <v>1</v>
      </c>
      <c r="M258" s="0" t="n">
        <f aca="false">IF(A258="池尻大橋",1,0)</f>
        <v>0</v>
      </c>
      <c r="N258" s="0" t="n">
        <f aca="false">IF(A258="三軒茶屋",1,0)</f>
        <v>0</v>
      </c>
      <c r="O258" s="0" t="n">
        <f aca="false">IF(A258="駒沢大学",1,0)</f>
        <v>0</v>
      </c>
      <c r="P258" s="0" t="n">
        <f aca="false">IF(A258="桜新町",1,0)</f>
        <v>0</v>
      </c>
      <c r="Q258" s="0" t="n">
        <f aca="false">IF(A258="二子玉川",1,0)</f>
        <v>1</v>
      </c>
      <c r="R258" s="0" t="n">
        <f aca="false">IF(E258=2021,1,0)</f>
        <v>0</v>
      </c>
      <c r="S258" s="0" t="n">
        <f aca="false">IF(E258=2022,1,0)</f>
        <v>1</v>
      </c>
      <c r="T258" s="0" t="n">
        <f aca="false">IF(E258=2023,1,0)</f>
        <v>0</v>
      </c>
      <c r="U258" s="0" t="n">
        <f aca="false">IF(E258=2024,1,0)</f>
        <v>0</v>
      </c>
    </row>
    <row r="259" customFormat="false" ht="15" hidden="false" customHeight="false" outlineLevel="0" collapsed="false">
      <c r="A259" s="1" t="s">
        <v>13</v>
      </c>
      <c r="B259" s="0" t="n">
        <v>11</v>
      </c>
      <c r="C259" s="0" t="n">
        <v>70</v>
      </c>
      <c r="D259" s="0" t="n">
        <v>2015</v>
      </c>
      <c r="E259" s="0" t="n">
        <v>2022</v>
      </c>
      <c r="F259" s="1" t="s">
        <v>18</v>
      </c>
      <c r="G259" s="0" t="n">
        <v>110000000</v>
      </c>
      <c r="H259" s="0" t="n">
        <f aca="false">LN(G259/C259)</f>
        <v>14.2674956817073</v>
      </c>
      <c r="I259" s="0" t="n">
        <f aca="false">B259</f>
        <v>11</v>
      </c>
      <c r="J259" s="0" t="n">
        <f aca="false">E259-D259</f>
        <v>7</v>
      </c>
      <c r="K259" s="0" t="n">
        <f aca="false">C259</f>
        <v>70</v>
      </c>
      <c r="L259" s="0" t="n">
        <f aca="false">IF(F259="改装済み",1,0)</f>
        <v>1</v>
      </c>
      <c r="M259" s="0" t="n">
        <f aca="false">IF(A259="池尻大橋",1,0)</f>
        <v>0</v>
      </c>
      <c r="N259" s="0" t="n">
        <f aca="false">IF(A259="三軒茶屋",1,0)</f>
        <v>0</v>
      </c>
      <c r="O259" s="0" t="n">
        <f aca="false">IF(A259="駒沢大学",1,0)</f>
        <v>0</v>
      </c>
      <c r="P259" s="0" t="n">
        <f aca="false">IF(A259="桜新町",1,0)</f>
        <v>0</v>
      </c>
      <c r="Q259" s="0" t="n">
        <f aca="false">IF(A259="二子玉川",1,0)</f>
        <v>1</v>
      </c>
      <c r="R259" s="0" t="n">
        <f aca="false">IF(E259=2021,1,0)</f>
        <v>0</v>
      </c>
      <c r="S259" s="0" t="n">
        <f aca="false">IF(E259=2022,1,0)</f>
        <v>1</v>
      </c>
      <c r="T259" s="0" t="n">
        <f aca="false">IF(E259=2023,1,0)</f>
        <v>0</v>
      </c>
      <c r="U259" s="0" t="n">
        <f aca="false">IF(E259=2024,1,0)</f>
        <v>0</v>
      </c>
    </row>
    <row r="260" customFormat="false" ht="15" hidden="false" customHeight="false" outlineLevel="0" collapsed="false">
      <c r="A260" s="1" t="s">
        <v>13</v>
      </c>
      <c r="B260" s="0" t="n">
        <v>14</v>
      </c>
      <c r="C260" s="0" t="n">
        <v>100</v>
      </c>
      <c r="D260" s="0" t="n">
        <v>1992</v>
      </c>
      <c r="E260" s="0" t="n">
        <v>2022</v>
      </c>
      <c r="F260" s="1" t="s">
        <v>19</v>
      </c>
      <c r="G260" s="0" t="n">
        <v>55000000</v>
      </c>
      <c r="H260" s="0" t="n">
        <f aca="false">LN(G260/C260)</f>
        <v>13.2176735572087</v>
      </c>
      <c r="I260" s="0" t="n">
        <f aca="false">B260</f>
        <v>14</v>
      </c>
      <c r="J260" s="0" t="n">
        <f aca="false">E260-D260</f>
        <v>30</v>
      </c>
      <c r="K260" s="0" t="n">
        <f aca="false">C260</f>
        <v>100</v>
      </c>
      <c r="L260" s="0" t="n">
        <f aca="false">IF(F260="改装済み",1,0)</f>
        <v>0</v>
      </c>
      <c r="M260" s="0" t="n">
        <f aca="false">IF(A260="池尻大橋",1,0)</f>
        <v>0</v>
      </c>
      <c r="N260" s="0" t="n">
        <f aca="false">IF(A260="三軒茶屋",1,0)</f>
        <v>0</v>
      </c>
      <c r="O260" s="0" t="n">
        <f aca="false">IF(A260="駒沢大学",1,0)</f>
        <v>0</v>
      </c>
      <c r="P260" s="0" t="n">
        <f aca="false">IF(A260="桜新町",1,0)</f>
        <v>0</v>
      </c>
      <c r="Q260" s="0" t="n">
        <f aca="false">IF(A260="二子玉川",1,0)</f>
        <v>1</v>
      </c>
      <c r="R260" s="0" t="n">
        <f aca="false">IF(E260=2021,1,0)</f>
        <v>0</v>
      </c>
      <c r="S260" s="0" t="n">
        <f aca="false">IF(E260=2022,1,0)</f>
        <v>1</v>
      </c>
      <c r="T260" s="0" t="n">
        <f aca="false">IF(E260=2023,1,0)</f>
        <v>0</v>
      </c>
      <c r="U260" s="0" t="n">
        <f aca="false">IF(E260=2024,1,0)</f>
        <v>0</v>
      </c>
    </row>
    <row r="261" customFormat="false" ht="15" hidden="false" customHeight="false" outlineLevel="0" collapsed="false">
      <c r="A261" s="1" t="s">
        <v>13</v>
      </c>
      <c r="B261" s="0" t="n">
        <v>11</v>
      </c>
      <c r="C261" s="0" t="n">
        <v>70</v>
      </c>
      <c r="D261" s="0" t="n">
        <v>2015</v>
      </c>
      <c r="E261" s="0" t="n">
        <v>2022</v>
      </c>
      <c r="F261" s="1" t="s">
        <v>19</v>
      </c>
      <c r="G261" s="0" t="n">
        <v>88000000</v>
      </c>
      <c r="H261" s="0" t="n">
        <f aca="false">LN(G261/C261)</f>
        <v>14.0443521303931</v>
      </c>
      <c r="I261" s="0" t="n">
        <f aca="false">B261</f>
        <v>11</v>
      </c>
      <c r="J261" s="0" t="n">
        <f aca="false">E261-D261</f>
        <v>7</v>
      </c>
      <c r="K261" s="0" t="n">
        <f aca="false">C261</f>
        <v>70</v>
      </c>
      <c r="L261" s="0" t="n">
        <f aca="false">IF(F261="改装済み",1,0)</f>
        <v>0</v>
      </c>
      <c r="M261" s="0" t="n">
        <f aca="false">IF(A261="池尻大橋",1,0)</f>
        <v>0</v>
      </c>
      <c r="N261" s="0" t="n">
        <f aca="false">IF(A261="三軒茶屋",1,0)</f>
        <v>0</v>
      </c>
      <c r="O261" s="0" t="n">
        <f aca="false">IF(A261="駒沢大学",1,0)</f>
        <v>0</v>
      </c>
      <c r="P261" s="0" t="n">
        <f aca="false">IF(A261="桜新町",1,0)</f>
        <v>0</v>
      </c>
      <c r="Q261" s="0" t="n">
        <f aca="false">IF(A261="二子玉川",1,0)</f>
        <v>1</v>
      </c>
      <c r="R261" s="0" t="n">
        <f aca="false">IF(E261=2021,1,0)</f>
        <v>0</v>
      </c>
      <c r="S261" s="0" t="n">
        <f aca="false">IF(E261=2022,1,0)</f>
        <v>1</v>
      </c>
      <c r="T261" s="0" t="n">
        <f aca="false">IF(E261=2023,1,0)</f>
        <v>0</v>
      </c>
      <c r="U261" s="0" t="n">
        <f aca="false">IF(E261=2024,1,0)</f>
        <v>0</v>
      </c>
    </row>
    <row r="262" customFormat="false" ht="15" hidden="false" customHeight="false" outlineLevel="0" collapsed="false">
      <c r="A262" s="1" t="s">
        <v>13</v>
      </c>
      <c r="B262" s="0" t="n">
        <v>8</v>
      </c>
      <c r="C262" s="0" t="n">
        <v>100</v>
      </c>
      <c r="D262" s="0" t="n">
        <v>2020</v>
      </c>
      <c r="E262" s="0" t="n">
        <v>2022</v>
      </c>
      <c r="F262" s="1" t="s">
        <v>19</v>
      </c>
      <c r="G262" s="0" t="n">
        <v>280000000</v>
      </c>
      <c r="H262" s="0" t="n">
        <f aca="false">LN(G262/C262)</f>
        <v>14.8451299751454</v>
      </c>
      <c r="I262" s="0" t="n">
        <f aca="false">B262</f>
        <v>8</v>
      </c>
      <c r="J262" s="0" t="n">
        <f aca="false">E262-D262</f>
        <v>2</v>
      </c>
      <c r="K262" s="0" t="n">
        <f aca="false">C262</f>
        <v>100</v>
      </c>
      <c r="L262" s="0" t="n">
        <f aca="false">IF(F262="改装済み",1,0)</f>
        <v>0</v>
      </c>
      <c r="M262" s="0" t="n">
        <f aca="false">IF(A262="池尻大橋",1,0)</f>
        <v>0</v>
      </c>
      <c r="N262" s="0" t="n">
        <f aca="false">IF(A262="三軒茶屋",1,0)</f>
        <v>0</v>
      </c>
      <c r="O262" s="0" t="n">
        <f aca="false">IF(A262="駒沢大学",1,0)</f>
        <v>0</v>
      </c>
      <c r="P262" s="0" t="n">
        <f aca="false">IF(A262="桜新町",1,0)</f>
        <v>0</v>
      </c>
      <c r="Q262" s="0" t="n">
        <f aca="false">IF(A262="二子玉川",1,0)</f>
        <v>1</v>
      </c>
      <c r="R262" s="0" t="n">
        <f aca="false">IF(E262=2021,1,0)</f>
        <v>0</v>
      </c>
      <c r="S262" s="0" t="n">
        <f aca="false">IF(E262=2022,1,0)</f>
        <v>1</v>
      </c>
      <c r="T262" s="0" t="n">
        <f aca="false">IF(E262=2023,1,0)</f>
        <v>0</v>
      </c>
      <c r="U262" s="0" t="n">
        <f aca="false">IF(E262=2024,1,0)</f>
        <v>0</v>
      </c>
    </row>
    <row r="263" customFormat="false" ht="15" hidden="false" customHeight="false" outlineLevel="0" collapsed="false">
      <c r="A263" s="1" t="s">
        <v>13</v>
      </c>
      <c r="B263" s="0" t="n">
        <v>15</v>
      </c>
      <c r="C263" s="0" t="n">
        <v>60</v>
      </c>
      <c r="D263" s="0" t="n">
        <v>1970</v>
      </c>
      <c r="E263" s="0" t="n">
        <v>2022</v>
      </c>
      <c r="F263" s="1" t="s">
        <v>18</v>
      </c>
      <c r="G263" s="0" t="n">
        <v>46000000</v>
      </c>
      <c r="H263" s="0" t="n">
        <f aca="false">LN(G263/C263)</f>
        <v>13.5498073922313</v>
      </c>
      <c r="I263" s="0" t="n">
        <f aca="false">B263</f>
        <v>15</v>
      </c>
      <c r="J263" s="0" t="n">
        <f aca="false">E263-D263</f>
        <v>52</v>
      </c>
      <c r="K263" s="0" t="n">
        <f aca="false">C263</f>
        <v>60</v>
      </c>
      <c r="L263" s="0" t="n">
        <f aca="false">IF(F263="改装済み",1,0)</f>
        <v>1</v>
      </c>
      <c r="M263" s="0" t="n">
        <f aca="false">IF(A263="池尻大橋",1,0)</f>
        <v>0</v>
      </c>
      <c r="N263" s="0" t="n">
        <f aca="false">IF(A263="三軒茶屋",1,0)</f>
        <v>0</v>
      </c>
      <c r="O263" s="0" t="n">
        <f aca="false">IF(A263="駒沢大学",1,0)</f>
        <v>0</v>
      </c>
      <c r="P263" s="0" t="n">
        <f aca="false">IF(A263="桜新町",1,0)</f>
        <v>0</v>
      </c>
      <c r="Q263" s="0" t="n">
        <f aca="false">IF(A263="二子玉川",1,0)</f>
        <v>1</v>
      </c>
      <c r="R263" s="0" t="n">
        <f aca="false">IF(E263=2021,1,0)</f>
        <v>0</v>
      </c>
      <c r="S263" s="0" t="n">
        <f aca="false">IF(E263=2022,1,0)</f>
        <v>1</v>
      </c>
      <c r="T263" s="0" t="n">
        <f aca="false">IF(E263=2023,1,0)</f>
        <v>0</v>
      </c>
      <c r="U263" s="0" t="n">
        <f aca="false">IF(E263=2024,1,0)</f>
        <v>0</v>
      </c>
    </row>
    <row r="264" customFormat="false" ht="15" hidden="false" customHeight="false" outlineLevel="0" collapsed="false">
      <c r="A264" s="1" t="s">
        <v>13</v>
      </c>
      <c r="B264" s="0" t="n">
        <v>11</v>
      </c>
      <c r="C264" s="0" t="n">
        <v>65</v>
      </c>
      <c r="D264" s="0" t="n">
        <v>2015</v>
      </c>
      <c r="E264" s="0" t="n">
        <v>2021</v>
      </c>
      <c r="F264" s="1" t="s">
        <v>19</v>
      </c>
      <c r="G264" s="0" t="n">
        <v>85000000</v>
      </c>
      <c r="H264" s="0" t="n">
        <f aca="false">LN(G264/C264)</f>
        <v>14.083774544559</v>
      </c>
      <c r="I264" s="0" t="n">
        <f aca="false">B264</f>
        <v>11</v>
      </c>
      <c r="J264" s="0" t="n">
        <f aca="false">E264-D264</f>
        <v>6</v>
      </c>
      <c r="K264" s="0" t="n">
        <f aca="false">C264</f>
        <v>65</v>
      </c>
      <c r="L264" s="0" t="n">
        <f aca="false">IF(F264="改装済み",1,0)</f>
        <v>0</v>
      </c>
      <c r="M264" s="0" t="n">
        <f aca="false">IF(A264="池尻大橋",1,0)</f>
        <v>0</v>
      </c>
      <c r="N264" s="0" t="n">
        <f aca="false">IF(A264="三軒茶屋",1,0)</f>
        <v>0</v>
      </c>
      <c r="O264" s="0" t="n">
        <f aca="false">IF(A264="駒沢大学",1,0)</f>
        <v>0</v>
      </c>
      <c r="P264" s="0" t="n">
        <f aca="false">IF(A264="桜新町",1,0)</f>
        <v>0</v>
      </c>
      <c r="Q264" s="0" t="n">
        <f aca="false">IF(A264="二子玉川",1,0)</f>
        <v>1</v>
      </c>
      <c r="R264" s="0" t="n">
        <f aca="false">IF(E264=2021,1,0)</f>
        <v>1</v>
      </c>
      <c r="S264" s="0" t="n">
        <f aca="false">IF(E264=2022,1,0)</f>
        <v>0</v>
      </c>
      <c r="T264" s="0" t="n">
        <f aca="false">IF(E264=2023,1,0)</f>
        <v>0</v>
      </c>
      <c r="U264" s="0" t="n">
        <f aca="false">IF(E264=2024,1,0)</f>
        <v>0</v>
      </c>
    </row>
    <row r="265" customFormat="false" ht="15" hidden="false" customHeight="false" outlineLevel="0" collapsed="false">
      <c r="A265" s="1" t="s">
        <v>13</v>
      </c>
      <c r="B265" s="0" t="n">
        <v>15</v>
      </c>
      <c r="C265" s="0" t="n">
        <v>60</v>
      </c>
      <c r="D265" s="0" t="n">
        <v>1970</v>
      </c>
      <c r="E265" s="0" t="n">
        <v>2021</v>
      </c>
      <c r="F265" s="1" t="s">
        <v>18</v>
      </c>
      <c r="G265" s="0" t="n">
        <v>49000000</v>
      </c>
      <c r="H265" s="0" t="n">
        <f aca="false">LN(G265/C265)</f>
        <v>13.6129862938528</v>
      </c>
      <c r="I265" s="0" t="n">
        <f aca="false">B265</f>
        <v>15</v>
      </c>
      <c r="J265" s="0" t="n">
        <f aca="false">E265-D265</f>
        <v>51</v>
      </c>
      <c r="K265" s="0" t="n">
        <f aca="false">C265</f>
        <v>60</v>
      </c>
      <c r="L265" s="0" t="n">
        <f aca="false">IF(F265="改装済み",1,0)</f>
        <v>1</v>
      </c>
      <c r="M265" s="0" t="n">
        <f aca="false">IF(A265="池尻大橋",1,0)</f>
        <v>0</v>
      </c>
      <c r="N265" s="0" t="n">
        <f aca="false">IF(A265="三軒茶屋",1,0)</f>
        <v>0</v>
      </c>
      <c r="O265" s="0" t="n">
        <f aca="false">IF(A265="駒沢大学",1,0)</f>
        <v>0</v>
      </c>
      <c r="P265" s="0" t="n">
        <f aca="false">IF(A265="桜新町",1,0)</f>
        <v>0</v>
      </c>
      <c r="Q265" s="0" t="n">
        <f aca="false">IF(A265="二子玉川",1,0)</f>
        <v>1</v>
      </c>
      <c r="R265" s="0" t="n">
        <f aca="false">IF(E265=2021,1,0)</f>
        <v>1</v>
      </c>
      <c r="S265" s="0" t="n">
        <f aca="false">IF(E265=2022,1,0)</f>
        <v>0</v>
      </c>
      <c r="T265" s="0" t="n">
        <f aca="false">IF(E265=2023,1,0)</f>
        <v>0</v>
      </c>
      <c r="U265" s="0" t="n">
        <f aca="false">IF(E265=2024,1,0)</f>
        <v>0</v>
      </c>
    </row>
    <row r="266" customFormat="false" ht="15" hidden="false" customHeight="false" outlineLevel="0" collapsed="false">
      <c r="A266" s="1" t="s">
        <v>13</v>
      </c>
      <c r="B266" s="0" t="n">
        <v>10</v>
      </c>
      <c r="C266" s="0" t="n">
        <v>75</v>
      </c>
      <c r="D266" s="0" t="n">
        <v>1978</v>
      </c>
      <c r="E266" s="0" t="n">
        <v>2021</v>
      </c>
      <c r="F266" s="1" t="s">
        <v>19</v>
      </c>
      <c r="G266" s="0" t="n">
        <v>55000000</v>
      </c>
      <c r="H266" s="0" t="n">
        <f aca="false">LN(G266/C266)</f>
        <v>13.5053556296604</v>
      </c>
      <c r="I266" s="0" t="n">
        <f aca="false">B266</f>
        <v>10</v>
      </c>
      <c r="J266" s="0" t="n">
        <f aca="false">E266-D266</f>
        <v>43</v>
      </c>
      <c r="K266" s="0" t="n">
        <f aca="false">C266</f>
        <v>75</v>
      </c>
      <c r="L266" s="0" t="n">
        <f aca="false">IF(F266="改装済み",1,0)</f>
        <v>0</v>
      </c>
      <c r="M266" s="0" t="n">
        <f aca="false">IF(A266="池尻大橋",1,0)</f>
        <v>0</v>
      </c>
      <c r="N266" s="0" t="n">
        <f aca="false">IF(A266="三軒茶屋",1,0)</f>
        <v>0</v>
      </c>
      <c r="O266" s="0" t="n">
        <f aca="false">IF(A266="駒沢大学",1,0)</f>
        <v>0</v>
      </c>
      <c r="P266" s="0" t="n">
        <f aca="false">IF(A266="桜新町",1,0)</f>
        <v>0</v>
      </c>
      <c r="Q266" s="0" t="n">
        <f aca="false">IF(A266="二子玉川",1,0)</f>
        <v>1</v>
      </c>
      <c r="R266" s="0" t="n">
        <f aca="false">IF(E266=2021,1,0)</f>
        <v>1</v>
      </c>
      <c r="S266" s="0" t="n">
        <f aca="false">IF(E266=2022,1,0)</f>
        <v>0</v>
      </c>
      <c r="T266" s="0" t="n">
        <f aca="false">IF(E266=2023,1,0)</f>
        <v>0</v>
      </c>
      <c r="U266" s="0" t="n">
        <f aca="false">IF(E266=2024,1,0)</f>
        <v>0</v>
      </c>
    </row>
    <row r="267" customFormat="false" ht="15" hidden="false" customHeight="false" outlineLevel="0" collapsed="false">
      <c r="A267" s="1" t="s">
        <v>20</v>
      </c>
      <c r="B267" s="0" t="n">
        <v>10</v>
      </c>
      <c r="C267" s="0" t="n">
        <v>75</v>
      </c>
      <c r="D267" s="0" t="n">
        <v>2012</v>
      </c>
      <c r="E267" s="0" t="n">
        <v>2025</v>
      </c>
      <c r="F267" s="1" t="s">
        <v>19</v>
      </c>
      <c r="G267" s="0" t="n">
        <v>120000000</v>
      </c>
      <c r="H267" s="0" t="n">
        <f aca="false">LN(G267/C267)</f>
        <v>14.28551418721</v>
      </c>
      <c r="I267" s="0" t="n">
        <f aca="false">B267</f>
        <v>10</v>
      </c>
      <c r="J267" s="0" t="n">
        <f aca="false">E267-D267</f>
        <v>13</v>
      </c>
      <c r="K267" s="0" t="n">
        <f aca="false">C267</f>
        <v>75</v>
      </c>
      <c r="L267" s="0" t="n">
        <f aca="false">IF(F267="改装済み",1,0)</f>
        <v>0</v>
      </c>
      <c r="M267" s="0" t="n">
        <f aca="false">IF(A267="池尻大橋",1,0)</f>
        <v>0</v>
      </c>
      <c r="N267" s="0" t="n">
        <f aca="false">IF(A267="三軒茶屋",1,0)</f>
        <v>0</v>
      </c>
      <c r="O267" s="0" t="n">
        <f aca="false">IF(A267="駒沢大学",1,0)</f>
        <v>0</v>
      </c>
      <c r="P267" s="0" t="n">
        <f aca="false">IF(A267="桜新町",1,0)</f>
        <v>0</v>
      </c>
      <c r="Q267" s="0" t="n">
        <f aca="false">IF(A267="二子玉川",1,0)</f>
        <v>0</v>
      </c>
      <c r="R267" s="0" t="n">
        <f aca="false">IF(E267=2021,1,0)</f>
        <v>0</v>
      </c>
      <c r="S267" s="0" t="n">
        <f aca="false">IF(E267=2022,1,0)</f>
        <v>0</v>
      </c>
      <c r="T267" s="0" t="n">
        <f aca="false">IF(E267=2023,1,0)</f>
        <v>0</v>
      </c>
      <c r="U267" s="0" t="n">
        <f aca="false">IF(E267=2024,1,0)</f>
        <v>0</v>
      </c>
    </row>
    <row r="268" customFormat="false" ht="15" hidden="false" customHeight="false" outlineLevel="0" collapsed="false">
      <c r="A268" s="1" t="s">
        <v>20</v>
      </c>
      <c r="B268" s="0" t="n">
        <v>16</v>
      </c>
      <c r="C268" s="0" t="n">
        <v>75</v>
      </c>
      <c r="D268" s="0" t="n">
        <v>2008</v>
      </c>
      <c r="E268" s="0" t="n">
        <v>2024</v>
      </c>
      <c r="F268" s="1" t="s">
        <v>19</v>
      </c>
      <c r="G268" s="0" t="n">
        <v>77000000</v>
      </c>
      <c r="H268" s="0" t="n">
        <f aca="false">LN(G268/C268)</f>
        <v>13.8418278662816</v>
      </c>
      <c r="I268" s="0" t="n">
        <f aca="false">B268</f>
        <v>16</v>
      </c>
      <c r="J268" s="0" t="n">
        <f aca="false">E268-D268</f>
        <v>16</v>
      </c>
      <c r="K268" s="0" t="n">
        <f aca="false">C268</f>
        <v>75</v>
      </c>
      <c r="L268" s="0" t="n">
        <f aca="false">IF(F268="改装済み",1,0)</f>
        <v>0</v>
      </c>
      <c r="M268" s="0" t="n">
        <f aca="false">IF(A268="池尻大橋",1,0)</f>
        <v>0</v>
      </c>
      <c r="N268" s="0" t="n">
        <f aca="false">IF(A268="三軒茶屋",1,0)</f>
        <v>0</v>
      </c>
      <c r="O268" s="0" t="n">
        <f aca="false">IF(A268="駒沢大学",1,0)</f>
        <v>0</v>
      </c>
      <c r="P268" s="0" t="n">
        <f aca="false">IF(A268="桜新町",1,0)</f>
        <v>0</v>
      </c>
      <c r="Q268" s="0" t="n">
        <f aca="false">IF(A268="二子玉川",1,0)</f>
        <v>0</v>
      </c>
      <c r="R268" s="0" t="n">
        <f aca="false">IF(E268=2021,1,0)</f>
        <v>0</v>
      </c>
      <c r="S268" s="0" t="n">
        <f aca="false">IF(E268=2022,1,0)</f>
        <v>0</v>
      </c>
      <c r="T268" s="0" t="n">
        <f aca="false">IF(E268=2023,1,0)</f>
        <v>0</v>
      </c>
      <c r="U268" s="0" t="n">
        <f aca="false">IF(E268=2024,1,0)</f>
        <v>1</v>
      </c>
    </row>
    <row r="269" customFormat="false" ht="15" hidden="false" customHeight="false" outlineLevel="0" collapsed="false">
      <c r="A269" s="1" t="s">
        <v>20</v>
      </c>
      <c r="B269" s="0" t="n">
        <v>9</v>
      </c>
      <c r="C269" s="0" t="n">
        <v>55</v>
      </c>
      <c r="D269" s="0" t="n">
        <v>2002</v>
      </c>
      <c r="E269" s="0" t="n">
        <v>2024</v>
      </c>
      <c r="F269" s="1" t="s">
        <v>19</v>
      </c>
      <c r="G269" s="0" t="n">
        <v>67000000</v>
      </c>
      <c r="H269" s="0" t="n">
        <f aca="false">LN(G269/C269)</f>
        <v>14.0128699921228</v>
      </c>
      <c r="I269" s="0" t="n">
        <f aca="false">B269</f>
        <v>9</v>
      </c>
      <c r="J269" s="0" t="n">
        <f aca="false">E269-D269</f>
        <v>22</v>
      </c>
      <c r="K269" s="0" t="n">
        <f aca="false">C269</f>
        <v>55</v>
      </c>
      <c r="L269" s="0" t="n">
        <f aca="false">IF(F269="改装済み",1,0)</f>
        <v>0</v>
      </c>
      <c r="M269" s="0" t="n">
        <f aca="false">IF(A269="池尻大橋",1,0)</f>
        <v>0</v>
      </c>
      <c r="N269" s="0" t="n">
        <f aca="false">IF(A269="三軒茶屋",1,0)</f>
        <v>0</v>
      </c>
      <c r="O269" s="0" t="n">
        <f aca="false">IF(A269="駒沢大学",1,0)</f>
        <v>0</v>
      </c>
      <c r="P269" s="0" t="n">
        <f aca="false">IF(A269="桜新町",1,0)</f>
        <v>0</v>
      </c>
      <c r="Q269" s="0" t="n">
        <f aca="false">IF(A269="二子玉川",1,0)</f>
        <v>0</v>
      </c>
      <c r="R269" s="0" t="n">
        <f aca="false">IF(E269=2021,1,0)</f>
        <v>0</v>
      </c>
      <c r="S269" s="0" t="n">
        <f aca="false">IF(E269=2022,1,0)</f>
        <v>0</v>
      </c>
      <c r="T269" s="0" t="n">
        <f aca="false">IF(E269=2023,1,0)</f>
        <v>0</v>
      </c>
      <c r="U269" s="0" t="n">
        <f aca="false">IF(E269=2024,1,0)</f>
        <v>1</v>
      </c>
    </row>
    <row r="270" customFormat="false" ht="15" hidden="false" customHeight="false" outlineLevel="0" collapsed="false">
      <c r="A270" s="1" t="s">
        <v>20</v>
      </c>
      <c r="B270" s="0" t="n">
        <v>9</v>
      </c>
      <c r="C270" s="0" t="n">
        <v>70</v>
      </c>
      <c r="D270" s="0" t="n">
        <v>2002</v>
      </c>
      <c r="E270" s="0" t="n">
        <v>2024</v>
      </c>
      <c r="F270" s="1" t="s">
        <v>19</v>
      </c>
      <c r="G270" s="0" t="n">
        <v>74000000</v>
      </c>
      <c r="H270" s="0" t="n">
        <f aca="false">LN(G270/C270)</f>
        <v>13.8710804091191</v>
      </c>
      <c r="I270" s="0" t="n">
        <f aca="false">B270</f>
        <v>9</v>
      </c>
      <c r="J270" s="0" t="n">
        <f aca="false">E270-D270</f>
        <v>22</v>
      </c>
      <c r="K270" s="0" t="n">
        <f aca="false">C270</f>
        <v>70</v>
      </c>
      <c r="L270" s="0" t="n">
        <f aca="false">IF(F270="改装済み",1,0)</f>
        <v>0</v>
      </c>
      <c r="M270" s="0" t="n">
        <f aca="false">IF(A270="池尻大橋",1,0)</f>
        <v>0</v>
      </c>
      <c r="N270" s="0" t="n">
        <f aca="false">IF(A270="三軒茶屋",1,0)</f>
        <v>0</v>
      </c>
      <c r="O270" s="0" t="n">
        <f aca="false">IF(A270="駒沢大学",1,0)</f>
        <v>0</v>
      </c>
      <c r="P270" s="0" t="n">
        <f aca="false">IF(A270="桜新町",1,0)</f>
        <v>0</v>
      </c>
      <c r="Q270" s="0" t="n">
        <f aca="false">IF(A270="二子玉川",1,0)</f>
        <v>0</v>
      </c>
      <c r="R270" s="0" t="n">
        <f aca="false">IF(E270=2021,1,0)</f>
        <v>0</v>
      </c>
      <c r="S270" s="0" t="n">
        <f aca="false">IF(E270=2022,1,0)</f>
        <v>0</v>
      </c>
      <c r="T270" s="0" t="n">
        <f aca="false">IF(E270=2023,1,0)</f>
        <v>0</v>
      </c>
      <c r="U270" s="0" t="n">
        <f aca="false">IF(E270=2024,1,0)</f>
        <v>1</v>
      </c>
    </row>
    <row r="271" customFormat="false" ht="15" hidden="false" customHeight="false" outlineLevel="0" collapsed="false">
      <c r="A271" s="1" t="s">
        <v>20</v>
      </c>
      <c r="B271" s="0" t="n">
        <v>9</v>
      </c>
      <c r="C271" s="0" t="n">
        <v>65</v>
      </c>
      <c r="D271" s="0" t="n">
        <v>2002</v>
      </c>
      <c r="E271" s="0" t="n">
        <v>2024</v>
      </c>
      <c r="F271" s="1" t="s">
        <v>18</v>
      </c>
      <c r="G271" s="0" t="n">
        <v>90000000</v>
      </c>
      <c r="H271" s="0" t="n">
        <f aca="false">LN(G271/C271)</f>
        <v>14.1409329583989</v>
      </c>
      <c r="I271" s="0" t="n">
        <f aca="false">B271</f>
        <v>9</v>
      </c>
      <c r="J271" s="0" t="n">
        <f aca="false">E271-D271</f>
        <v>22</v>
      </c>
      <c r="K271" s="0" t="n">
        <f aca="false">C271</f>
        <v>65</v>
      </c>
      <c r="L271" s="0" t="n">
        <f aca="false">IF(F271="改装済み",1,0)</f>
        <v>1</v>
      </c>
      <c r="M271" s="0" t="n">
        <f aca="false">IF(A271="池尻大橋",1,0)</f>
        <v>0</v>
      </c>
      <c r="N271" s="0" t="n">
        <f aca="false">IF(A271="三軒茶屋",1,0)</f>
        <v>0</v>
      </c>
      <c r="O271" s="0" t="n">
        <f aca="false">IF(A271="駒沢大学",1,0)</f>
        <v>0</v>
      </c>
      <c r="P271" s="0" t="n">
        <f aca="false">IF(A271="桜新町",1,0)</f>
        <v>0</v>
      </c>
      <c r="Q271" s="0" t="n">
        <f aca="false">IF(A271="二子玉川",1,0)</f>
        <v>0</v>
      </c>
      <c r="R271" s="0" t="n">
        <f aca="false">IF(E271=2021,1,0)</f>
        <v>0</v>
      </c>
      <c r="S271" s="0" t="n">
        <f aca="false">IF(E271=2022,1,0)</f>
        <v>0</v>
      </c>
      <c r="T271" s="0" t="n">
        <f aca="false">IF(E271=2023,1,0)</f>
        <v>0</v>
      </c>
      <c r="U271" s="0" t="n">
        <f aca="false">IF(E271=2024,1,0)</f>
        <v>1</v>
      </c>
    </row>
    <row r="272" customFormat="false" ht="15" hidden="false" customHeight="false" outlineLevel="0" collapsed="false">
      <c r="A272" s="1" t="s">
        <v>20</v>
      </c>
      <c r="B272" s="0" t="n">
        <v>11</v>
      </c>
      <c r="C272" s="0" t="n">
        <v>65</v>
      </c>
      <c r="D272" s="0" t="n">
        <v>2015</v>
      </c>
      <c r="E272" s="0" t="n">
        <v>2024</v>
      </c>
      <c r="F272" s="1" t="s">
        <v>19</v>
      </c>
      <c r="G272" s="0" t="n">
        <v>94000000</v>
      </c>
      <c r="H272" s="0" t="n">
        <f aca="false">LN(G272/C272)</f>
        <v>14.1844180703386</v>
      </c>
      <c r="I272" s="0" t="n">
        <f aca="false">B272</f>
        <v>11</v>
      </c>
      <c r="J272" s="0" t="n">
        <f aca="false">E272-D272</f>
        <v>9</v>
      </c>
      <c r="K272" s="0" t="n">
        <f aca="false">C272</f>
        <v>65</v>
      </c>
      <c r="L272" s="0" t="n">
        <f aca="false">IF(F272="改装済み",1,0)</f>
        <v>0</v>
      </c>
      <c r="M272" s="0" t="n">
        <f aca="false">IF(A272="池尻大橋",1,0)</f>
        <v>0</v>
      </c>
      <c r="N272" s="0" t="n">
        <f aca="false">IF(A272="三軒茶屋",1,0)</f>
        <v>0</v>
      </c>
      <c r="O272" s="0" t="n">
        <f aca="false">IF(A272="駒沢大学",1,0)</f>
        <v>0</v>
      </c>
      <c r="P272" s="0" t="n">
        <f aca="false">IF(A272="桜新町",1,0)</f>
        <v>0</v>
      </c>
      <c r="Q272" s="0" t="n">
        <f aca="false">IF(A272="二子玉川",1,0)</f>
        <v>0</v>
      </c>
      <c r="R272" s="0" t="n">
        <f aca="false">IF(E272=2021,1,0)</f>
        <v>0</v>
      </c>
      <c r="S272" s="0" t="n">
        <f aca="false">IF(E272=2022,1,0)</f>
        <v>0</v>
      </c>
      <c r="T272" s="0" t="n">
        <f aca="false">IF(E272=2023,1,0)</f>
        <v>0</v>
      </c>
      <c r="U272" s="0" t="n">
        <f aca="false">IF(E272=2024,1,0)</f>
        <v>1</v>
      </c>
    </row>
    <row r="273" customFormat="false" ht="15" hidden="false" customHeight="false" outlineLevel="0" collapsed="false">
      <c r="A273" s="1" t="s">
        <v>20</v>
      </c>
      <c r="B273" s="0" t="n">
        <v>13</v>
      </c>
      <c r="C273" s="0" t="n">
        <v>100</v>
      </c>
      <c r="D273" s="0" t="n">
        <v>2008</v>
      </c>
      <c r="E273" s="0" t="n">
        <v>2023</v>
      </c>
      <c r="F273" s="1" t="s">
        <v>18</v>
      </c>
      <c r="G273" s="0" t="n">
        <v>120000000</v>
      </c>
      <c r="H273" s="0" t="n">
        <f aca="false">LN(G273/C273)</f>
        <v>13.9978321147582</v>
      </c>
      <c r="I273" s="0" t="n">
        <f aca="false">B273</f>
        <v>13</v>
      </c>
      <c r="J273" s="0" t="n">
        <f aca="false">E273-D273</f>
        <v>15</v>
      </c>
      <c r="K273" s="0" t="n">
        <f aca="false">C273</f>
        <v>100</v>
      </c>
      <c r="L273" s="0" t="n">
        <f aca="false">IF(F273="改装済み",1,0)</f>
        <v>1</v>
      </c>
      <c r="M273" s="0" t="n">
        <f aca="false">IF(A273="池尻大橋",1,0)</f>
        <v>0</v>
      </c>
      <c r="N273" s="0" t="n">
        <f aca="false">IF(A273="三軒茶屋",1,0)</f>
        <v>0</v>
      </c>
      <c r="O273" s="0" t="n">
        <f aca="false">IF(A273="駒沢大学",1,0)</f>
        <v>0</v>
      </c>
      <c r="P273" s="0" t="n">
        <f aca="false">IF(A273="桜新町",1,0)</f>
        <v>0</v>
      </c>
      <c r="Q273" s="0" t="n">
        <f aca="false">IF(A273="二子玉川",1,0)</f>
        <v>0</v>
      </c>
      <c r="R273" s="0" t="n">
        <f aca="false">IF(E273=2021,1,0)</f>
        <v>0</v>
      </c>
      <c r="S273" s="0" t="n">
        <f aca="false">IF(E273=2022,1,0)</f>
        <v>0</v>
      </c>
      <c r="T273" s="0" t="n">
        <f aca="false">IF(E273=2023,1,0)</f>
        <v>1</v>
      </c>
      <c r="U273" s="0" t="n">
        <f aca="false">IF(E273=2024,1,0)</f>
        <v>0</v>
      </c>
    </row>
    <row r="274" customFormat="false" ht="15" hidden="false" customHeight="false" outlineLevel="0" collapsed="false">
      <c r="A274" s="1" t="s">
        <v>20</v>
      </c>
      <c r="B274" s="0" t="n">
        <v>9</v>
      </c>
      <c r="C274" s="0" t="n">
        <v>70</v>
      </c>
      <c r="D274" s="0" t="n">
        <v>2000</v>
      </c>
      <c r="E274" s="0" t="n">
        <v>2023</v>
      </c>
      <c r="F274" s="1" t="s">
        <v>19</v>
      </c>
      <c r="G274" s="0" t="n">
        <v>83000000</v>
      </c>
      <c r="H274" s="0" t="n">
        <f aca="false">LN(G274/C274)</f>
        <v>13.9858559237115</v>
      </c>
      <c r="I274" s="0" t="n">
        <f aca="false">B274</f>
        <v>9</v>
      </c>
      <c r="J274" s="0" t="n">
        <f aca="false">E274-D274</f>
        <v>23</v>
      </c>
      <c r="K274" s="0" t="n">
        <f aca="false">C274</f>
        <v>70</v>
      </c>
      <c r="L274" s="0" t="n">
        <f aca="false">IF(F274="改装済み",1,0)</f>
        <v>0</v>
      </c>
      <c r="M274" s="0" t="n">
        <f aca="false">IF(A274="池尻大橋",1,0)</f>
        <v>0</v>
      </c>
      <c r="N274" s="0" t="n">
        <f aca="false">IF(A274="三軒茶屋",1,0)</f>
        <v>0</v>
      </c>
      <c r="O274" s="0" t="n">
        <f aca="false">IF(A274="駒沢大学",1,0)</f>
        <v>0</v>
      </c>
      <c r="P274" s="0" t="n">
        <f aca="false">IF(A274="桜新町",1,0)</f>
        <v>0</v>
      </c>
      <c r="Q274" s="0" t="n">
        <f aca="false">IF(A274="二子玉川",1,0)</f>
        <v>0</v>
      </c>
      <c r="R274" s="0" t="n">
        <f aca="false">IF(E274=2021,1,0)</f>
        <v>0</v>
      </c>
      <c r="S274" s="0" t="n">
        <f aca="false">IF(E274=2022,1,0)</f>
        <v>0</v>
      </c>
      <c r="T274" s="0" t="n">
        <f aca="false">IF(E274=2023,1,0)</f>
        <v>1</v>
      </c>
      <c r="U274" s="0" t="n">
        <f aca="false">IF(E274=2024,1,0)</f>
        <v>0</v>
      </c>
    </row>
    <row r="275" customFormat="false" ht="15" hidden="false" customHeight="false" outlineLevel="0" collapsed="false">
      <c r="A275" s="1" t="s">
        <v>20</v>
      </c>
      <c r="B275" s="0" t="n">
        <v>13</v>
      </c>
      <c r="C275" s="0" t="n">
        <v>70</v>
      </c>
      <c r="D275" s="0" t="n">
        <v>2008</v>
      </c>
      <c r="E275" s="0" t="n">
        <v>2023</v>
      </c>
      <c r="F275" s="1" t="s">
        <v>19</v>
      </c>
      <c r="G275" s="0" t="n">
        <v>80000000</v>
      </c>
      <c r="H275" s="0" t="n">
        <f aca="false">LN(G275/C275)</f>
        <v>13.9490419505888</v>
      </c>
      <c r="I275" s="0" t="n">
        <f aca="false">B275</f>
        <v>13</v>
      </c>
      <c r="J275" s="0" t="n">
        <f aca="false">E275-D275</f>
        <v>15</v>
      </c>
      <c r="K275" s="0" t="n">
        <f aca="false">C275</f>
        <v>70</v>
      </c>
      <c r="L275" s="0" t="n">
        <f aca="false">IF(F275="改装済み",1,0)</f>
        <v>0</v>
      </c>
      <c r="M275" s="0" t="n">
        <f aca="false">IF(A275="池尻大橋",1,0)</f>
        <v>0</v>
      </c>
      <c r="N275" s="0" t="n">
        <f aca="false">IF(A275="三軒茶屋",1,0)</f>
        <v>0</v>
      </c>
      <c r="O275" s="0" t="n">
        <f aca="false">IF(A275="駒沢大学",1,0)</f>
        <v>0</v>
      </c>
      <c r="P275" s="0" t="n">
        <f aca="false">IF(A275="桜新町",1,0)</f>
        <v>0</v>
      </c>
      <c r="Q275" s="0" t="n">
        <f aca="false">IF(A275="二子玉川",1,0)</f>
        <v>0</v>
      </c>
      <c r="R275" s="0" t="n">
        <f aca="false">IF(E275=2021,1,0)</f>
        <v>0</v>
      </c>
      <c r="S275" s="0" t="n">
        <f aca="false">IF(E275=2022,1,0)</f>
        <v>0</v>
      </c>
      <c r="T275" s="0" t="n">
        <f aca="false">IF(E275=2023,1,0)</f>
        <v>1</v>
      </c>
      <c r="U275" s="0" t="n">
        <f aca="false">IF(E275=2024,1,0)</f>
        <v>0</v>
      </c>
    </row>
    <row r="276" customFormat="false" ht="15" hidden="false" customHeight="false" outlineLevel="0" collapsed="false">
      <c r="A276" s="1" t="s">
        <v>20</v>
      </c>
      <c r="B276" s="0" t="n">
        <v>10</v>
      </c>
      <c r="C276" s="0" t="n">
        <v>75</v>
      </c>
      <c r="D276" s="0" t="n">
        <v>2012</v>
      </c>
      <c r="E276" s="0" t="n">
        <v>2023</v>
      </c>
      <c r="F276" s="1" t="s">
        <v>19</v>
      </c>
      <c r="G276" s="0" t="n">
        <v>86000000</v>
      </c>
      <c r="H276" s="0" t="n">
        <f aca="false">LN(G276/C276)</f>
        <v>13.9523697406815</v>
      </c>
      <c r="I276" s="0" t="n">
        <f aca="false">B276</f>
        <v>10</v>
      </c>
      <c r="J276" s="0" t="n">
        <f aca="false">E276-D276</f>
        <v>11</v>
      </c>
      <c r="K276" s="0" t="n">
        <f aca="false">C276</f>
        <v>75</v>
      </c>
      <c r="L276" s="0" t="n">
        <f aca="false">IF(F276="改装済み",1,0)</f>
        <v>0</v>
      </c>
      <c r="M276" s="0" t="n">
        <f aca="false">IF(A276="池尻大橋",1,0)</f>
        <v>0</v>
      </c>
      <c r="N276" s="0" t="n">
        <f aca="false">IF(A276="三軒茶屋",1,0)</f>
        <v>0</v>
      </c>
      <c r="O276" s="0" t="n">
        <f aca="false">IF(A276="駒沢大学",1,0)</f>
        <v>0</v>
      </c>
      <c r="P276" s="0" t="n">
        <f aca="false">IF(A276="桜新町",1,0)</f>
        <v>0</v>
      </c>
      <c r="Q276" s="0" t="n">
        <f aca="false">IF(A276="二子玉川",1,0)</f>
        <v>0</v>
      </c>
      <c r="R276" s="0" t="n">
        <f aca="false">IF(E276=2021,1,0)</f>
        <v>0</v>
      </c>
      <c r="S276" s="0" t="n">
        <f aca="false">IF(E276=2022,1,0)</f>
        <v>0</v>
      </c>
      <c r="T276" s="0" t="n">
        <f aca="false">IF(E276=2023,1,0)</f>
        <v>1</v>
      </c>
      <c r="U276" s="0" t="n">
        <f aca="false">IF(E276=2024,1,0)</f>
        <v>0</v>
      </c>
    </row>
    <row r="277" customFormat="false" ht="15" hidden="false" customHeight="false" outlineLevel="0" collapsed="false">
      <c r="A277" s="1" t="s">
        <v>20</v>
      </c>
      <c r="B277" s="0" t="n">
        <v>17</v>
      </c>
      <c r="C277" s="0" t="n">
        <v>60</v>
      </c>
      <c r="D277" s="0" t="n">
        <v>1997</v>
      </c>
      <c r="E277" s="0" t="n">
        <v>2022</v>
      </c>
      <c r="F277" s="1" t="s">
        <v>19</v>
      </c>
      <c r="G277" s="0" t="n">
        <v>60000000</v>
      </c>
      <c r="H277" s="0" t="n">
        <f aca="false">LN(G277/C277)</f>
        <v>13.8155105579643</v>
      </c>
      <c r="I277" s="0" t="n">
        <f aca="false">B277</f>
        <v>17</v>
      </c>
      <c r="J277" s="0" t="n">
        <f aca="false">E277-D277</f>
        <v>25</v>
      </c>
      <c r="K277" s="0" t="n">
        <f aca="false">C277</f>
        <v>60</v>
      </c>
      <c r="L277" s="0" t="n">
        <f aca="false">IF(F277="改装済み",1,0)</f>
        <v>0</v>
      </c>
      <c r="M277" s="0" t="n">
        <f aca="false">IF(A277="池尻大橋",1,0)</f>
        <v>0</v>
      </c>
      <c r="N277" s="0" t="n">
        <f aca="false">IF(A277="三軒茶屋",1,0)</f>
        <v>0</v>
      </c>
      <c r="O277" s="0" t="n">
        <f aca="false">IF(A277="駒沢大学",1,0)</f>
        <v>0</v>
      </c>
      <c r="P277" s="0" t="n">
        <f aca="false">IF(A277="桜新町",1,0)</f>
        <v>0</v>
      </c>
      <c r="Q277" s="0" t="n">
        <f aca="false">IF(A277="二子玉川",1,0)</f>
        <v>0</v>
      </c>
      <c r="R277" s="0" t="n">
        <f aca="false">IF(E277=2021,1,0)</f>
        <v>0</v>
      </c>
      <c r="S277" s="0" t="n">
        <f aca="false">IF(E277=2022,1,0)</f>
        <v>1</v>
      </c>
      <c r="T277" s="0" t="n">
        <f aca="false">IF(E277=2023,1,0)</f>
        <v>0</v>
      </c>
      <c r="U277" s="0" t="n">
        <f aca="false">IF(E277=2024,1,0)</f>
        <v>0</v>
      </c>
    </row>
    <row r="278" customFormat="false" ht="15" hidden="false" customHeight="false" outlineLevel="0" collapsed="false">
      <c r="A278" s="1" t="s">
        <v>20</v>
      </c>
      <c r="B278" s="0" t="n">
        <v>13</v>
      </c>
      <c r="C278" s="0" t="n">
        <v>70</v>
      </c>
      <c r="D278" s="0" t="n">
        <v>2008</v>
      </c>
      <c r="E278" s="0" t="n">
        <v>2022</v>
      </c>
      <c r="F278" s="1" t="s">
        <v>19</v>
      </c>
      <c r="G278" s="0" t="n">
        <v>76000000</v>
      </c>
      <c r="H278" s="0" t="n">
        <f aca="false">LN(G278/C278)</f>
        <v>13.8977486562012</v>
      </c>
      <c r="I278" s="0" t="n">
        <f aca="false">B278</f>
        <v>13</v>
      </c>
      <c r="J278" s="0" t="n">
        <f aca="false">E278-D278</f>
        <v>14</v>
      </c>
      <c r="K278" s="0" t="n">
        <f aca="false">C278</f>
        <v>70</v>
      </c>
      <c r="L278" s="0" t="n">
        <f aca="false">IF(F278="改装済み",1,0)</f>
        <v>0</v>
      </c>
      <c r="M278" s="0" t="n">
        <f aca="false">IF(A278="池尻大橋",1,0)</f>
        <v>0</v>
      </c>
      <c r="N278" s="0" t="n">
        <f aca="false">IF(A278="三軒茶屋",1,0)</f>
        <v>0</v>
      </c>
      <c r="O278" s="0" t="n">
        <f aca="false">IF(A278="駒沢大学",1,0)</f>
        <v>0</v>
      </c>
      <c r="P278" s="0" t="n">
        <f aca="false">IF(A278="桜新町",1,0)</f>
        <v>0</v>
      </c>
      <c r="Q278" s="0" t="n">
        <f aca="false">IF(A278="二子玉川",1,0)</f>
        <v>0</v>
      </c>
      <c r="R278" s="0" t="n">
        <f aca="false">IF(E278=2021,1,0)</f>
        <v>0</v>
      </c>
      <c r="S278" s="0" t="n">
        <f aca="false">IF(E278=2022,1,0)</f>
        <v>1</v>
      </c>
      <c r="T278" s="0" t="n">
        <f aca="false">IF(E278=2023,1,0)</f>
        <v>0</v>
      </c>
      <c r="U278" s="0" t="n">
        <f aca="false">IF(E278=2024,1,0)</f>
        <v>0</v>
      </c>
    </row>
    <row r="279" customFormat="false" ht="15" hidden="false" customHeight="false" outlineLevel="0" collapsed="false">
      <c r="A279" s="1" t="s">
        <v>20</v>
      </c>
      <c r="B279" s="0" t="n">
        <v>16</v>
      </c>
      <c r="C279" s="0" t="n">
        <v>75</v>
      </c>
      <c r="D279" s="0" t="n">
        <v>2008</v>
      </c>
      <c r="E279" s="0" t="n">
        <v>2022</v>
      </c>
      <c r="F279" s="1" t="s">
        <v>19</v>
      </c>
      <c r="G279" s="0" t="n">
        <v>85000000</v>
      </c>
      <c r="H279" s="0" t="n">
        <f aca="false">LN(G279/C279)</f>
        <v>13.9406737009183</v>
      </c>
      <c r="I279" s="0" t="n">
        <f aca="false">B279</f>
        <v>16</v>
      </c>
      <c r="J279" s="0" t="n">
        <f aca="false">E279-D279</f>
        <v>14</v>
      </c>
      <c r="K279" s="0" t="n">
        <f aca="false">C279</f>
        <v>75</v>
      </c>
      <c r="L279" s="0" t="n">
        <f aca="false">IF(F279="改装済み",1,0)</f>
        <v>0</v>
      </c>
      <c r="M279" s="0" t="n">
        <f aca="false">IF(A279="池尻大橋",1,0)</f>
        <v>0</v>
      </c>
      <c r="N279" s="0" t="n">
        <f aca="false">IF(A279="三軒茶屋",1,0)</f>
        <v>0</v>
      </c>
      <c r="O279" s="0" t="n">
        <f aca="false">IF(A279="駒沢大学",1,0)</f>
        <v>0</v>
      </c>
      <c r="P279" s="0" t="n">
        <f aca="false">IF(A279="桜新町",1,0)</f>
        <v>0</v>
      </c>
      <c r="Q279" s="0" t="n">
        <f aca="false">IF(A279="二子玉川",1,0)</f>
        <v>0</v>
      </c>
      <c r="R279" s="0" t="n">
        <f aca="false">IF(E279=2021,1,0)</f>
        <v>0</v>
      </c>
      <c r="S279" s="0" t="n">
        <f aca="false">IF(E279=2022,1,0)</f>
        <v>1</v>
      </c>
      <c r="T279" s="0" t="n">
        <f aca="false">IF(E279=2023,1,0)</f>
        <v>0</v>
      </c>
      <c r="U279" s="0" t="n">
        <f aca="false">IF(E279=2024,1,0)</f>
        <v>0</v>
      </c>
    </row>
    <row r="280" customFormat="false" ht="15" hidden="false" customHeight="false" outlineLevel="0" collapsed="false">
      <c r="A280" s="1" t="s">
        <v>20</v>
      </c>
      <c r="B280" s="0" t="n">
        <v>9</v>
      </c>
      <c r="C280" s="0" t="n">
        <v>65</v>
      </c>
      <c r="D280" s="0" t="n">
        <v>2002</v>
      </c>
      <c r="E280" s="0" t="n">
        <v>2022</v>
      </c>
      <c r="F280" s="1" t="s">
        <v>19</v>
      </c>
      <c r="G280" s="0" t="n">
        <v>67000000</v>
      </c>
      <c r="H280" s="0" t="n">
        <f aca="false">LN(G280/C280)</f>
        <v>13.8458159074596</v>
      </c>
      <c r="I280" s="0" t="n">
        <f aca="false">B280</f>
        <v>9</v>
      </c>
      <c r="J280" s="0" t="n">
        <f aca="false">E280-D280</f>
        <v>20</v>
      </c>
      <c r="K280" s="0" t="n">
        <f aca="false">C280</f>
        <v>65</v>
      </c>
      <c r="L280" s="0" t="n">
        <f aca="false">IF(F280="改装済み",1,0)</f>
        <v>0</v>
      </c>
      <c r="M280" s="0" t="n">
        <f aca="false">IF(A280="池尻大橋",1,0)</f>
        <v>0</v>
      </c>
      <c r="N280" s="0" t="n">
        <f aca="false">IF(A280="三軒茶屋",1,0)</f>
        <v>0</v>
      </c>
      <c r="O280" s="0" t="n">
        <f aca="false">IF(A280="駒沢大学",1,0)</f>
        <v>0</v>
      </c>
      <c r="P280" s="0" t="n">
        <f aca="false">IF(A280="桜新町",1,0)</f>
        <v>0</v>
      </c>
      <c r="Q280" s="0" t="n">
        <f aca="false">IF(A280="二子玉川",1,0)</f>
        <v>0</v>
      </c>
      <c r="R280" s="0" t="n">
        <f aca="false">IF(E280=2021,1,0)</f>
        <v>0</v>
      </c>
      <c r="S280" s="0" t="n">
        <f aca="false">IF(E280=2022,1,0)</f>
        <v>1</v>
      </c>
      <c r="T280" s="0" t="n">
        <f aca="false">IF(E280=2023,1,0)</f>
        <v>0</v>
      </c>
      <c r="U280" s="0" t="n">
        <f aca="false">IF(E280=2024,1,0)</f>
        <v>0</v>
      </c>
    </row>
    <row r="281" customFormat="false" ht="15" hidden="false" customHeight="false" outlineLevel="0" collapsed="false">
      <c r="A281" s="1" t="s">
        <v>20</v>
      </c>
      <c r="B281" s="0" t="n">
        <v>16</v>
      </c>
      <c r="C281" s="0" t="n">
        <v>75</v>
      </c>
      <c r="D281" s="0" t="n">
        <v>2008</v>
      </c>
      <c r="E281" s="0" t="n">
        <v>2022</v>
      </c>
      <c r="F281" s="1" t="s">
        <v>19</v>
      </c>
      <c r="G281" s="0" t="n">
        <v>90000000</v>
      </c>
      <c r="H281" s="0" t="n">
        <f aca="false">LN(G281/C281)</f>
        <v>13.9978321147582</v>
      </c>
      <c r="I281" s="0" t="n">
        <f aca="false">B281</f>
        <v>16</v>
      </c>
      <c r="J281" s="0" t="n">
        <f aca="false">E281-D281</f>
        <v>14</v>
      </c>
      <c r="K281" s="0" t="n">
        <f aca="false">C281</f>
        <v>75</v>
      </c>
      <c r="L281" s="0" t="n">
        <f aca="false">IF(F281="改装済み",1,0)</f>
        <v>0</v>
      </c>
      <c r="M281" s="0" t="n">
        <f aca="false">IF(A281="池尻大橋",1,0)</f>
        <v>0</v>
      </c>
      <c r="N281" s="0" t="n">
        <f aca="false">IF(A281="三軒茶屋",1,0)</f>
        <v>0</v>
      </c>
      <c r="O281" s="0" t="n">
        <f aca="false">IF(A281="駒沢大学",1,0)</f>
        <v>0</v>
      </c>
      <c r="P281" s="0" t="n">
        <f aca="false">IF(A281="桜新町",1,0)</f>
        <v>0</v>
      </c>
      <c r="Q281" s="0" t="n">
        <f aca="false">IF(A281="二子玉川",1,0)</f>
        <v>0</v>
      </c>
      <c r="R281" s="0" t="n">
        <f aca="false">IF(E281=2021,1,0)</f>
        <v>0</v>
      </c>
      <c r="S281" s="0" t="n">
        <f aca="false">IF(E281=2022,1,0)</f>
        <v>1</v>
      </c>
      <c r="T281" s="0" t="n">
        <f aca="false">IF(E281=2023,1,0)</f>
        <v>0</v>
      </c>
      <c r="U281" s="0" t="n">
        <f aca="false">IF(E281=2024,1,0)</f>
        <v>0</v>
      </c>
    </row>
    <row r="282" customFormat="false" ht="15" hidden="false" customHeight="false" outlineLevel="0" collapsed="false">
      <c r="A282" s="1" t="s">
        <v>20</v>
      </c>
      <c r="B282" s="0" t="n">
        <v>11</v>
      </c>
      <c r="C282" s="0" t="n">
        <v>65</v>
      </c>
      <c r="D282" s="0" t="n">
        <v>2015</v>
      </c>
      <c r="E282" s="0" t="n">
        <v>2022</v>
      </c>
      <c r="F282" s="1" t="s">
        <v>19</v>
      </c>
      <c r="G282" s="0" t="n">
        <v>76000000</v>
      </c>
      <c r="H282" s="0" t="n">
        <f aca="false">LN(G282/C282)</f>
        <v>13.971856628355</v>
      </c>
      <c r="I282" s="0" t="n">
        <f aca="false">B282</f>
        <v>11</v>
      </c>
      <c r="J282" s="0" t="n">
        <f aca="false">E282-D282</f>
        <v>7</v>
      </c>
      <c r="K282" s="0" t="n">
        <f aca="false">C282</f>
        <v>65</v>
      </c>
      <c r="L282" s="0" t="n">
        <f aca="false">IF(F282="改装済み",1,0)</f>
        <v>0</v>
      </c>
      <c r="M282" s="0" t="n">
        <f aca="false">IF(A282="池尻大橋",1,0)</f>
        <v>0</v>
      </c>
      <c r="N282" s="0" t="n">
        <f aca="false">IF(A282="三軒茶屋",1,0)</f>
        <v>0</v>
      </c>
      <c r="O282" s="0" t="n">
        <f aca="false">IF(A282="駒沢大学",1,0)</f>
        <v>0</v>
      </c>
      <c r="P282" s="0" t="n">
        <f aca="false">IF(A282="桜新町",1,0)</f>
        <v>0</v>
      </c>
      <c r="Q282" s="0" t="n">
        <f aca="false">IF(A282="二子玉川",1,0)</f>
        <v>0</v>
      </c>
      <c r="R282" s="0" t="n">
        <f aca="false">IF(E282=2021,1,0)</f>
        <v>0</v>
      </c>
      <c r="S282" s="0" t="n">
        <f aca="false">IF(E282=2022,1,0)</f>
        <v>1</v>
      </c>
      <c r="T282" s="0" t="n">
        <f aca="false">IF(E282=2023,1,0)</f>
        <v>0</v>
      </c>
      <c r="U282" s="0" t="n">
        <f aca="false">IF(E282=2024,1,0)</f>
        <v>0</v>
      </c>
    </row>
    <row r="283" customFormat="false" ht="15" hidden="false" customHeight="false" outlineLevel="0" collapsed="false">
      <c r="A283" s="1" t="s">
        <v>20</v>
      </c>
      <c r="B283" s="0" t="n">
        <v>9</v>
      </c>
      <c r="C283" s="0" t="n">
        <v>55</v>
      </c>
      <c r="D283" s="0" t="n">
        <v>2000</v>
      </c>
      <c r="E283" s="0" t="n">
        <v>2022</v>
      </c>
      <c r="F283" s="1" t="s">
        <v>18</v>
      </c>
      <c r="G283" s="0" t="n">
        <v>61000000</v>
      </c>
      <c r="H283" s="0" t="n">
        <f aca="false">LN(G283/C283)</f>
        <v>13.9190512369051</v>
      </c>
      <c r="I283" s="0" t="n">
        <f aca="false">B283</f>
        <v>9</v>
      </c>
      <c r="J283" s="0" t="n">
        <f aca="false">E283-D283</f>
        <v>22</v>
      </c>
      <c r="K283" s="0" t="n">
        <f aca="false">C283</f>
        <v>55</v>
      </c>
      <c r="L283" s="0" t="n">
        <f aca="false">IF(F283="改装済み",1,0)</f>
        <v>1</v>
      </c>
      <c r="M283" s="0" t="n">
        <f aca="false">IF(A283="池尻大橋",1,0)</f>
        <v>0</v>
      </c>
      <c r="N283" s="0" t="n">
        <f aca="false">IF(A283="三軒茶屋",1,0)</f>
        <v>0</v>
      </c>
      <c r="O283" s="0" t="n">
        <f aca="false">IF(A283="駒沢大学",1,0)</f>
        <v>0</v>
      </c>
      <c r="P283" s="0" t="n">
        <f aca="false">IF(A283="桜新町",1,0)</f>
        <v>0</v>
      </c>
      <c r="Q283" s="0" t="n">
        <f aca="false">IF(A283="二子玉川",1,0)</f>
        <v>0</v>
      </c>
      <c r="R283" s="0" t="n">
        <f aca="false">IF(E283=2021,1,0)</f>
        <v>0</v>
      </c>
      <c r="S283" s="0" t="n">
        <f aca="false">IF(E283=2022,1,0)</f>
        <v>1</v>
      </c>
      <c r="T283" s="0" t="n">
        <f aca="false">IF(E283=2023,1,0)</f>
        <v>0</v>
      </c>
      <c r="U283" s="0" t="n">
        <f aca="false">IF(E283=2024,1,0)</f>
        <v>0</v>
      </c>
    </row>
    <row r="284" customFormat="false" ht="15" hidden="false" customHeight="false" outlineLevel="0" collapsed="false">
      <c r="A284" s="1" t="s">
        <v>20</v>
      </c>
      <c r="B284" s="0" t="n">
        <v>13</v>
      </c>
      <c r="C284" s="0" t="n">
        <v>60</v>
      </c>
      <c r="D284" s="0" t="n">
        <v>2008</v>
      </c>
      <c r="E284" s="0" t="n">
        <v>2022</v>
      </c>
      <c r="F284" s="1" t="s">
        <v>18</v>
      </c>
      <c r="G284" s="0" t="n">
        <v>62000000</v>
      </c>
      <c r="H284" s="0" t="n">
        <f aca="false">LN(G284/C284)</f>
        <v>13.8483003807873</v>
      </c>
      <c r="I284" s="0" t="n">
        <f aca="false">B284</f>
        <v>13</v>
      </c>
      <c r="J284" s="0" t="n">
        <f aca="false">E284-D284</f>
        <v>14</v>
      </c>
      <c r="K284" s="0" t="n">
        <f aca="false">C284</f>
        <v>60</v>
      </c>
      <c r="L284" s="0" t="n">
        <f aca="false">IF(F284="改装済み",1,0)</f>
        <v>1</v>
      </c>
      <c r="M284" s="0" t="n">
        <f aca="false">IF(A284="池尻大橋",1,0)</f>
        <v>0</v>
      </c>
      <c r="N284" s="0" t="n">
        <f aca="false">IF(A284="三軒茶屋",1,0)</f>
        <v>0</v>
      </c>
      <c r="O284" s="0" t="n">
        <f aca="false">IF(A284="駒沢大学",1,0)</f>
        <v>0</v>
      </c>
      <c r="P284" s="0" t="n">
        <f aca="false">IF(A284="桜新町",1,0)</f>
        <v>0</v>
      </c>
      <c r="Q284" s="0" t="n">
        <f aca="false">IF(A284="二子玉川",1,0)</f>
        <v>0</v>
      </c>
      <c r="R284" s="0" t="n">
        <f aca="false">IF(E284=2021,1,0)</f>
        <v>0</v>
      </c>
      <c r="S284" s="0" t="n">
        <f aca="false">IF(E284=2022,1,0)</f>
        <v>1</v>
      </c>
      <c r="T284" s="0" t="n">
        <f aca="false">IF(E284=2023,1,0)</f>
        <v>0</v>
      </c>
      <c r="U284" s="0" t="n">
        <f aca="false">IF(E284=2024,1,0)</f>
        <v>0</v>
      </c>
    </row>
    <row r="285" customFormat="false" ht="15" hidden="false" customHeight="false" outlineLevel="0" collapsed="false">
      <c r="A285" s="1" t="s">
        <v>20</v>
      </c>
      <c r="B285" s="0" t="n">
        <v>10</v>
      </c>
      <c r="C285" s="0" t="n">
        <v>75</v>
      </c>
      <c r="D285" s="0" t="n">
        <v>2000</v>
      </c>
      <c r="E285" s="0" t="n">
        <v>2021</v>
      </c>
      <c r="F285" s="1" t="s">
        <v>18</v>
      </c>
      <c r="G285" s="0" t="n">
        <v>57000000</v>
      </c>
      <c r="H285" s="0" t="n">
        <f aca="false">LN(G285/C285)</f>
        <v>13.5410737122625</v>
      </c>
      <c r="I285" s="0" t="n">
        <f aca="false">B285</f>
        <v>10</v>
      </c>
      <c r="J285" s="0" t="n">
        <f aca="false">E285-D285</f>
        <v>21</v>
      </c>
      <c r="K285" s="0" t="n">
        <f aca="false">C285</f>
        <v>75</v>
      </c>
      <c r="L285" s="0" t="n">
        <f aca="false">IF(F285="改装済み",1,0)</f>
        <v>1</v>
      </c>
      <c r="M285" s="0" t="n">
        <f aca="false">IF(A285="池尻大橋",1,0)</f>
        <v>0</v>
      </c>
      <c r="N285" s="0" t="n">
        <f aca="false">IF(A285="三軒茶屋",1,0)</f>
        <v>0</v>
      </c>
      <c r="O285" s="0" t="n">
        <f aca="false">IF(A285="駒沢大学",1,0)</f>
        <v>0</v>
      </c>
      <c r="P285" s="0" t="n">
        <f aca="false">IF(A285="桜新町",1,0)</f>
        <v>0</v>
      </c>
      <c r="Q285" s="0" t="n">
        <f aca="false">IF(A285="二子玉川",1,0)</f>
        <v>0</v>
      </c>
      <c r="R285" s="0" t="n">
        <f aca="false">IF(E285=2021,1,0)</f>
        <v>1</v>
      </c>
      <c r="S285" s="0" t="n">
        <f aca="false">IF(E285=2022,1,0)</f>
        <v>0</v>
      </c>
      <c r="T285" s="0" t="n">
        <f aca="false">IF(E285=2023,1,0)</f>
        <v>0</v>
      </c>
      <c r="U285" s="0" t="n">
        <f aca="false">IF(E285=2024,1,0)</f>
        <v>0</v>
      </c>
    </row>
    <row r="286" customFormat="false" ht="15" hidden="false" customHeight="false" outlineLevel="0" collapsed="false">
      <c r="A286" s="1" t="s">
        <v>20</v>
      </c>
      <c r="B286" s="0" t="n">
        <v>11</v>
      </c>
      <c r="C286" s="0" t="n">
        <v>55</v>
      </c>
      <c r="D286" s="0" t="n">
        <v>2015</v>
      </c>
      <c r="E286" s="0" t="n">
        <v>2021</v>
      </c>
      <c r="F286" s="1" t="s">
        <v>19</v>
      </c>
      <c r="G286" s="0" t="n">
        <v>55000000</v>
      </c>
      <c r="H286" s="0" t="n">
        <f aca="false">LN(G286/C286)</f>
        <v>13.8155105579643</v>
      </c>
      <c r="I286" s="0" t="n">
        <f aca="false">B286</f>
        <v>11</v>
      </c>
      <c r="J286" s="0" t="n">
        <f aca="false">E286-D286</f>
        <v>6</v>
      </c>
      <c r="K286" s="0" t="n">
        <f aca="false">C286</f>
        <v>55</v>
      </c>
      <c r="L286" s="0" t="n">
        <f aca="false">IF(F286="改装済み",1,0)</f>
        <v>0</v>
      </c>
      <c r="M286" s="0" t="n">
        <f aca="false">IF(A286="池尻大橋",1,0)</f>
        <v>0</v>
      </c>
      <c r="N286" s="0" t="n">
        <f aca="false">IF(A286="三軒茶屋",1,0)</f>
        <v>0</v>
      </c>
      <c r="O286" s="0" t="n">
        <f aca="false">IF(A286="駒沢大学",1,0)</f>
        <v>0</v>
      </c>
      <c r="P286" s="0" t="n">
        <f aca="false">IF(A286="桜新町",1,0)</f>
        <v>0</v>
      </c>
      <c r="Q286" s="0" t="n">
        <f aca="false">IF(A286="二子玉川",1,0)</f>
        <v>0</v>
      </c>
      <c r="R286" s="0" t="n">
        <f aca="false">IF(E286=2021,1,0)</f>
        <v>1</v>
      </c>
      <c r="S286" s="0" t="n">
        <f aca="false">IF(E286=2022,1,0)</f>
        <v>0</v>
      </c>
      <c r="T286" s="0" t="n">
        <f aca="false">IF(E286=2023,1,0)</f>
        <v>0</v>
      </c>
      <c r="U286" s="0" t="n">
        <f aca="false">IF(E286=2024,1,0)</f>
        <v>0</v>
      </c>
    </row>
    <row r="287" customFormat="false" ht="15" hidden="false" customHeight="false" outlineLevel="0" collapsed="false">
      <c r="A287" s="1" t="s">
        <v>10</v>
      </c>
      <c r="B287" s="0" t="n">
        <v>12</v>
      </c>
      <c r="C287" s="0" t="n">
        <v>65</v>
      </c>
      <c r="D287" s="0" t="n">
        <v>2012</v>
      </c>
      <c r="E287" s="0" t="n">
        <v>2024</v>
      </c>
      <c r="F287" s="1" t="s">
        <v>18</v>
      </c>
      <c r="G287" s="0" t="n">
        <v>140000000</v>
      </c>
      <c r="H287" s="0" t="n">
        <f aca="false">LN(G287/C287)</f>
        <v>14.5827657106779</v>
      </c>
      <c r="I287" s="0" t="n">
        <f aca="false">B287</f>
        <v>12</v>
      </c>
      <c r="J287" s="0" t="n">
        <f aca="false">E287-D287</f>
        <v>12</v>
      </c>
      <c r="K287" s="0" t="n">
        <f aca="false">C287</f>
        <v>65</v>
      </c>
      <c r="L287" s="0" t="n">
        <f aca="false">IF(F287="改装済み",1,0)</f>
        <v>1</v>
      </c>
      <c r="M287" s="0" t="n">
        <f aca="false">IF(A287="池尻大橋",1,0)</f>
        <v>0</v>
      </c>
      <c r="N287" s="0" t="n">
        <f aca="false">IF(A287="三軒茶屋",1,0)</f>
        <v>1</v>
      </c>
      <c r="O287" s="0" t="n">
        <f aca="false">IF(A287="駒沢大学",1,0)</f>
        <v>0</v>
      </c>
      <c r="P287" s="0" t="n">
        <f aca="false">IF(A287="桜新町",1,0)</f>
        <v>0</v>
      </c>
      <c r="Q287" s="0" t="n">
        <f aca="false">IF(A287="二子玉川",1,0)</f>
        <v>0</v>
      </c>
      <c r="R287" s="0" t="n">
        <f aca="false">IF(E287=2021,1,0)</f>
        <v>0</v>
      </c>
      <c r="S287" s="0" t="n">
        <f aca="false">IF(E287=2022,1,0)</f>
        <v>0</v>
      </c>
      <c r="T287" s="0" t="n">
        <f aca="false">IF(E287=2023,1,0)</f>
        <v>0</v>
      </c>
      <c r="U287" s="0" t="n">
        <f aca="false">IF(E287=2024,1,0)</f>
        <v>1</v>
      </c>
    </row>
    <row r="288" customFormat="false" ht="15" hidden="false" customHeight="false" outlineLevel="0" collapsed="false">
      <c r="A288" s="1" t="s">
        <v>10</v>
      </c>
      <c r="B288" s="0" t="n">
        <v>12</v>
      </c>
      <c r="C288" s="0" t="n">
        <v>80</v>
      </c>
      <c r="D288" s="0" t="n">
        <v>2012</v>
      </c>
      <c r="E288" s="0" t="n">
        <v>2024</v>
      </c>
      <c r="F288" s="1" t="s">
        <v>19</v>
      </c>
      <c r="G288" s="0" t="n">
        <v>150000000</v>
      </c>
      <c r="H288" s="0" t="n">
        <f aca="false">LN(G288/C288)</f>
        <v>14.4441192173866</v>
      </c>
      <c r="I288" s="0" t="n">
        <f aca="false">B288</f>
        <v>12</v>
      </c>
      <c r="J288" s="0" t="n">
        <f aca="false">E288-D288</f>
        <v>12</v>
      </c>
      <c r="K288" s="0" t="n">
        <f aca="false">C288</f>
        <v>80</v>
      </c>
      <c r="L288" s="0" t="n">
        <f aca="false">IF(F288="改装済み",1,0)</f>
        <v>0</v>
      </c>
      <c r="M288" s="0" t="n">
        <f aca="false">IF(A288="池尻大橋",1,0)</f>
        <v>0</v>
      </c>
      <c r="N288" s="0" t="n">
        <f aca="false">IF(A288="三軒茶屋",1,0)</f>
        <v>1</v>
      </c>
      <c r="O288" s="0" t="n">
        <f aca="false">IF(A288="駒沢大学",1,0)</f>
        <v>0</v>
      </c>
      <c r="P288" s="0" t="n">
        <f aca="false">IF(A288="桜新町",1,0)</f>
        <v>0</v>
      </c>
      <c r="Q288" s="0" t="n">
        <f aca="false">IF(A288="二子玉川",1,0)</f>
        <v>0</v>
      </c>
      <c r="R288" s="0" t="n">
        <f aca="false">IF(E288=2021,1,0)</f>
        <v>0</v>
      </c>
      <c r="S288" s="0" t="n">
        <f aca="false">IF(E288=2022,1,0)</f>
        <v>0</v>
      </c>
      <c r="T288" s="0" t="n">
        <f aca="false">IF(E288=2023,1,0)</f>
        <v>0</v>
      </c>
      <c r="U288" s="0" t="n">
        <f aca="false">IF(E288=2024,1,0)</f>
        <v>1</v>
      </c>
    </row>
    <row r="289" customFormat="false" ht="15" hidden="false" customHeight="false" outlineLevel="0" collapsed="false">
      <c r="A289" s="1" t="s">
        <v>9</v>
      </c>
      <c r="B289" s="0" t="n">
        <v>9</v>
      </c>
      <c r="C289" s="0" t="n">
        <v>60</v>
      </c>
      <c r="D289" s="0" t="n">
        <v>2006</v>
      </c>
      <c r="E289" s="0" t="n">
        <v>2022</v>
      </c>
      <c r="F289" s="1" t="s">
        <v>18</v>
      </c>
      <c r="G289" s="0" t="n">
        <v>81000000</v>
      </c>
      <c r="H289" s="0" t="n">
        <f aca="false">LN(G289/C289)</f>
        <v>14.1156151504146</v>
      </c>
      <c r="I289" s="0" t="n">
        <f aca="false">B289</f>
        <v>9</v>
      </c>
      <c r="J289" s="0" t="n">
        <f aca="false">E289-D289</f>
        <v>16</v>
      </c>
      <c r="K289" s="0" t="n">
        <f aca="false">C289</f>
        <v>60</v>
      </c>
      <c r="L289" s="0" t="n">
        <f aca="false">IF(F289="改装済み",1,0)</f>
        <v>1</v>
      </c>
      <c r="M289" s="0" t="n">
        <f aca="false">IF(A289="池尻大橋",1,0)</f>
        <v>1</v>
      </c>
      <c r="N289" s="0" t="n">
        <f aca="false">IF(A289="三軒茶屋",1,0)</f>
        <v>0</v>
      </c>
      <c r="O289" s="0" t="n">
        <f aca="false">IF(A289="駒沢大学",1,0)</f>
        <v>0</v>
      </c>
      <c r="P289" s="0" t="n">
        <f aca="false">IF(A289="桜新町",1,0)</f>
        <v>0</v>
      </c>
      <c r="Q289" s="0" t="n">
        <f aca="false">IF(A289="二子玉川",1,0)</f>
        <v>0</v>
      </c>
      <c r="R289" s="0" t="n">
        <f aca="false">IF(E289=2021,1,0)</f>
        <v>0</v>
      </c>
      <c r="S289" s="0" t="n">
        <f aca="false">IF(E289=2022,1,0)</f>
        <v>1</v>
      </c>
      <c r="T289" s="0" t="n">
        <f aca="false">IF(E289=2023,1,0)</f>
        <v>0</v>
      </c>
      <c r="U289" s="0" t="n">
        <f aca="false">IF(E289=2024,1,0)</f>
        <v>0</v>
      </c>
    </row>
    <row r="290" customFormat="false" ht="15" hidden="false" customHeight="false" outlineLevel="0" collapsed="false">
      <c r="A290" s="1" t="s">
        <v>10</v>
      </c>
      <c r="B290" s="0" t="n">
        <v>2</v>
      </c>
      <c r="C290" s="0" t="n">
        <v>60</v>
      </c>
      <c r="D290" s="0" t="n">
        <v>1974</v>
      </c>
      <c r="E290" s="0" t="n">
        <v>2025</v>
      </c>
      <c r="F290" s="1" t="s">
        <v>19</v>
      </c>
      <c r="G290" s="0" t="n">
        <v>77000000</v>
      </c>
      <c r="H290" s="0" t="n">
        <f aca="false">LN(G290/C290)</f>
        <v>14.0649714175959</v>
      </c>
      <c r="I290" s="0" t="n">
        <f aca="false">B290</f>
        <v>2</v>
      </c>
      <c r="J290" s="0" t="n">
        <f aca="false">E290-D290</f>
        <v>51</v>
      </c>
      <c r="K290" s="0" t="n">
        <f aca="false">C290</f>
        <v>60</v>
      </c>
      <c r="L290" s="0" t="n">
        <f aca="false">IF(F290="改装済み",1,0)</f>
        <v>0</v>
      </c>
      <c r="M290" s="0" t="n">
        <f aca="false">IF(A290="池尻大橋",1,0)</f>
        <v>0</v>
      </c>
      <c r="N290" s="0" t="n">
        <f aca="false">IF(A290="三軒茶屋",1,0)</f>
        <v>1</v>
      </c>
      <c r="O290" s="0" t="n">
        <f aca="false">IF(A290="駒沢大学",1,0)</f>
        <v>0</v>
      </c>
      <c r="P290" s="0" t="n">
        <f aca="false">IF(A290="桜新町",1,0)</f>
        <v>0</v>
      </c>
      <c r="Q290" s="0" t="n">
        <f aca="false">IF(A290="二子玉川",1,0)</f>
        <v>0</v>
      </c>
      <c r="R290" s="0" t="n">
        <f aca="false">IF(E290=2021,1,0)</f>
        <v>0</v>
      </c>
      <c r="S290" s="0" t="n">
        <f aca="false">IF(E290=2022,1,0)</f>
        <v>0</v>
      </c>
      <c r="T290" s="0" t="n">
        <f aca="false">IF(E290=2023,1,0)</f>
        <v>0</v>
      </c>
      <c r="U290" s="0" t="n">
        <f aca="false">IF(E290=2024,1,0)</f>
        <v>0</v>
      </c>
    </row>
    <row r="291" customFormat="false" ht="15" hidden="false" customHeight="false" outlineLevel="0" collapsed="false">
      <c r="A291" s="1" t="s">
        <v>10</v>
      </c>
      <c r="B291" s="0" t="n">
        <v>2</v>
      </c>
      <c r="C291" s="0" t="n">
        <v>60</v>
      </c>
      <c r="D291" s="0" t="n">
        <v>1974</v>
      </c>
      <c r="E291" s="0" t="n">
        <v>2025</v>
      </c>
      <c r="F291" s="1" t="s">
        <v>19</v>
      </c>
      <c r="G291" s="0" t="n">
        <v>63000000</v>
      </c>
      <c r="H291" s="0" t="n">
        <f aca="false">LN(G291/C291)</f>
        <v>13.8643007221337</v>
      </c>
      <c r="I291" s="0" t="n">
        <f aca="false">B291</f>
        <v>2</v>
      </c>
      <c r="J291" s="0" t="n">
        <f aca="false">E291-D291</f>
        <v>51</v>
      </c>
      <c r="K291" s="0" t="n">
        <f aca="false">C291</f>
        <v>60</v>
      </c>
      <c r="L291" s="0" t="n">
        <f aca="false">IF(F291="改装済み",1,0)</f>
        <v>0</v>
      </c>
      <c r="M291" s="0" t="n">
        <f aca="false">IF(A291="池尻大橋",1,0)</f>
        <v>0</v>
      </c>
      <c r="N291" s="0" t="n">
        <f aca="false">IF(A291="三軒茶屋",1,0)</f>
        <v>1</v>
      </c>
      <c r="O291" s="0" t="n">
        <f aca="false">IF(A291="駒沢大学",1,0)</f>
        <v>0</v>
      </c>
      <c r="P291" s="0" t="n">
        <f aca="false">IF(A291="桜新町",1,0)</f>
        <v>0</v>
      </c>
      <c r="Q291" s="0" t="n">
        <f aca="false">IF(A291="二子玉川",1,0)</f>
        <v>0</v>
      </c>
      <c r="R291" s="0" t="n">
        <f aca="false">IF(E291=2021,1,0)</f>
        <v>0</v>
      </c>
      <c r="S291" s="0" t="n">
        <f aca="false">IF(E291=2022,1,0)</f>
        <v>0</v>
      </c>
      <c r="T291" s="0" t="n">
        <f aca="false">IF(E291=2023,1,0)</f>
        <v>0</v>
      </c>
      <c r="U291" s="0" t="n">
        <f aca="false">IF(E291=2024,1,0)</f>
        <v>0</v>
      </c>
    </row>
    <row r="292" customFormat="false" ht="15" hidden="false" customHeight="false" outlineLevel="0" collapsed="false">
      <c r="A292" s="1" t="s">
        <v>10</v>
      </c>
      <c r="B292" s="0" t="n">
        <v>10</v>
      </c>
      <c r="C292" s="0" t="n">
        <v>120</v>
      </c>
      <c r="D292" s="0" t="n">
        <v>2008</v>
      </c>
      <c r="E292" s="0" t="n">
        <v>2025</v>
      </c>
      <c r="F292" s="1" t="s">
        <v>19</v>
      </c>
      <c r="G292" s="0" t="n">
        <v>280000000</v>
      </c>
      <c r="H292" s="0" t="n">
        <f aca="false">LN(G292/C292)</f>
        <v>14.6628084183515</v>
      </c>
      <c r="I292" s="0" t="n">
        <f aca="false">B292</f>
        <v>10</v>
      </c>
      <c r="J292" s="0" t="n">
        <f aca="false">E292-D292</f>
        <v>17</v>
      </c>
      <c r="K292" s="0" t="n">
        <f aca="false">C292</f>
        <v>120</v>
      </c>
      <c r="L292" s="0" t="n">
        <f aca="false">IF(F292="改装済み",1,0)</f>
        <v>0</v>
      </c>
      <c r="M292" s="0" t="n">
        <f aca="false">IF(A292="池尻大橋",1,0)</f>
        <v>0</v>
      </c>
      <c r="N292" s="0" t="n">
        <f aca="false">IF(A292="三軒茶屋",1,0)</f>
        <v>1</v>
      </c>
      <c r="O292" s="0" t="n">
        <f aca="false">IF(A292="駒沢大学",1,0)</f>
        <v>0</v>
      </c>
      <c r="P292" s="0" t="n">
        <f aca="false">IF(A292="桜新町",1,0)</f>
        <v>0</v>
      </c>
      <c r="Q292" s="0" t="n">
        <f aca="false">IF(A292="二子玉川",1,0)</f>
        <v>0</v>
      </c>
      <c r="R292" s="0" t="n">
        <f aca="false">IF(E292=2021,1,0)</f>
        <v>0</v>
      </c>
      <c r="S292" s="0" t="n">
        <f aca="false">IF(E292=2022,1,0)</f>
        <v>0</v>
      </c>
      <c r="T292" s="0" t="n">
        <f aca="false">IF(E292=2023,1,0)</f>
        <v>0</v>
      </c>
      <c r="U292" s="0" t="n">
        <f aca="false">IF(E292=2024,1,0)</f>
        <v>0</v>
      </c>
    </row>
    <row r="293" customFormat="false" ht="15" hidden="false" customHeight="false" outlineLevel="0" collapsed="false">
      <c r="A293" s="1" t="s">
        <v>10</v>
      </c>
      <c r="B293" s="0" t="n">
        <v>3</v>
      </c>
      <c r="C293" s="0" t="n">
        <v>55</v>
      </c>
      <c r="D293" s="0" t="n">
        <v>2011</v>
      </c>
      <c r="E293" s="0" t="n">
        <v>2024</v>
      </c>
      <c r="F293" s="1" t="s">
        <v>19</v>
      </c>
      <c r="G293" s="0" t="n">
        <v>75000000</v>
      </c>
      <c r="H293" s="0" t="n">
        <f aca="false">LN(G293/C293)</f>
        <v>14.1256654862681</v>
      </c>
      <c r="I293" s="0" t="n">
        <f aca="false">B293</f>
        <v>3</v>
      </c>
      <c r="J293" s="0" t="n">
        <f aca="false">E293-D293</f>
        <v>13</v>
      </c>
      <c r="K293" s="0" t="n">
        <f aca="false">C293</f>
        <v>55</v>
      </c>
      <c r="L293" s="0" t="n">
        <f aca="false">IF(F293="改装済み",1,0)</f>
        <v>0</v>
      </c>
      <c r="M293" s="0" t="n">
        <f aca="false">IF(A293="池尻大橋",1,0)</f>
        <v>0</v>
      </c>
      <c r="N293" s="0" t="n">
        <f aca="false">IF(A293="三軒茶屋",1,0)</f>
        <v>1</v>
      </c>
      <c r="O293" s="0" t="n">
        <f aca="false">IF(A293="駒沢大学",1,0)</f>
        <v>0</v>
      </c>
      <c r="P293" s="0" t="n">
        <f aca="false">IF(A293="桜新町",1,0)</f>
        <v>0</v>
      </c>
      <c r="Q293" s="0" t="n">
        <f aca="false">IF(A293="二子玉川",1,0)</f>
        <v>0</v>
      </c>
      <c r="R293" s="0" t="n">
        <f aca="false">IF(E293=2021,1,0)</f>
        <v>0</v>
      </c>
      <c r="S293" s="0" t="n">
        <f aca="false">IF(E293=2022,1,0)</f>
        <v>0</v>
      </c>
      <c r="T293" s="0" t="n">
        <f aca="false">IF(E293=2023,1,0)</f>
        <v>0</v>
      </c>
      <c r="U293" s="0" t="n">
        <f aca="false">IF(E293=2024,1,0)</f>
        <v>1</v>
      </c>
    </row>
    <row r="294" customFormat="false" ht="15" hidden="false" customHeight="false" outlineLevel="0" collapsed="false">
      <c r="A294" s="1" t="s">
        <v>10</v>
      </c>
      <c r="B294" s="0" t="n">
        <v>10</v>
      </c>
      <c r="C294" s="0" t="n">
        <v>95</v>
      </c>
      <c r="D294" s="0" t="n">
        <v>2008</v>
      </c>
      <c r="E294" s="0" t="n">
        <v>2024</v>
      </c>
      <c r="F294" s="1" t="s">
        <v>19</v>
      </c>
      <c r="G294" s="0" t="n">
        <v>210000000</v>
      </c>
      <c r="H294" s="0" t="n">
        <f aca="false">LN(G294/C294)</f>
        <v>14.6087411970812</v>
      </c>
      <c r="I294" s="0" t="n">
        <f aca="false">B294</f>
        <v>10</v>
      </c>
      <c r="J294" s="0" t="n">
        <f aca="false">E294-D294</f>
        <v>16</v>
      </c>
      <c r="K294" s="0" t="n">
        <f aca="false">C294</f>
        <v>95</v>
      </c>
      <c r="L294" s="0" t="n">
        <f aca="false">IF(F294="改装済み",1,0)</f>
        <v>0</v>
      </c>
      <c r="M294" s="0" t="n">
        <f aca="false">IF(A294="池尻大橋",1,0)</f>
        <v>0</v>
      </c>
      <c r="N294" s="0" t="n">
        <f aca="false">IF(A294="三軒茶屋",1,0)</f>
        <v>1</v>
      </c>
      <c r="O294" s="0" t="n">
        <f aca="false">IF(A294="駒沢大学",1,0)</f>
        <v>0</v>
      </c>
      <c r="P294" s="0" t="n">
        <f aca="false">IF(A294="桜新町",1,0)</f>
        <v>0</v>
      </c>
      <c r="Q294" s="0" t="n">
        <f aca="false">IF(A294="二子玉川",1,0)</f>
        <v>0</v>
      </c>
      <c r="R294" s="0" t="n">
        <f aca="false">IF(E294=2021,1,0)</f>
        <v>0</v>
      </c>
      <c r="S294" s="0" t="n">
        <f aca="false">IF(E294=2022,1,0)</f>
        <v>0</v>
      </c>
      <c r="T294" s="0" t="n">
        <f aca="false">IF(E294=2023,1,0)</f>
        <v>0</v>
      </c>
      <c r="U294" s="0" t="n">
        <f aca="false">IF(E294=2024,1,0)</f>
        <v>1</v>
      </c>
    </row>
    <row r="295" customFormat="false" ht="15" hidden="false" customHeight="false" outlineLevel="0" collapsed="false">
      <c r="A295" s="1" t="s">
        <v>10</v>
      </c>
      <c r="B295" s="0" t="n">
        <v>2</v>
      </c>
      <c r="C295" s="0" t="n">
        <v>65</v>
      </c>
      <c r="D295" s="0" t="n">
        <v>1974</v>
      </c>
      <c r="E295" s="0" t="n">
        <v>2024</v>
      </c>
      <c r="F295" s="1" t="s">
        <v>18</v>
      </c>
      <c r="G295" s="0" t="n">
        <v>75000000</v>
      </c>
      <c r="H295" s="0" t="n">
        <f aca="false">LN(G295/C295)</f>
        <v>13.9586114016049</v>
      </c>
      <c r="I295" s="0" t="n">
        <f aca="false">B295</f>
        <v>2</v>
      </c>
      <c r="J295" s="0" t="n">
        <f aca="false">E295-D295</f>
        <v>50</v>
      </c>
      <c r="K295" s="0" t="n">
        <f aca="false">C295</f>
        <v>65</v>
      </c>
      <c r="L295" s="0" t="n">
        <f aca="false">IF(F295="改装済み",1,0)</f>
        <v>1</v>
      </c>
      <c r="M295" s="0" t="n">
        <f aca="false">IF(A295="池尻大橋",1,0)</f>
        <v>0</v>
      </c>
      <c r="N295" s="0" t="n">
        <f aca="false">IF(A295="三軒茶屋",1,0)</f>
        <v>1</v>
      </c>
      <c r="O295" s="0" t="n">
        <f aca="false">IF(A295="駒沢大学",1,0)</f>
        <v>0</v>
      </c>
      <c r="P295" s="0" t="n">
        <f aca="false">IF(A295="桜新町",1,0)</f>
        <v>0</v>
      </c>
      <c r="Q295" s="0" t="n">
        <f aca="false">IF(A295="二子玉川",1,0)</f>
        <v>0</v>
      </c>
      <c r="R295" s="0" t="n">
        <f aca="false">IF(E295=2021,1,0)</f>
        <v>0</v>
      </c>
      <c r="S295" s="0" t="n">
        <f aca="false">IF(E295=2022,1,0)</f>
        <v>0</v>
      </c>
      <c r="T295" s="0" t="n">
        <f aca="false">IF(E295=2023,1,0)</f>
        <v>0</v>
      </c>
      <c r="U295" s="0" t="n">
        <f aca="false">IF(E295=2024,1,0)</f>
        <v>1</v>
      </c>
    </row>
    <row r="296" customFormat="false" ht="15" hidden="false" customHeight="false" outlineLevel="0" collapsed="false">
      <c r="A296" s="1" t="s">
        <v>10</v>
      </c>
      <c r="B296" s="0" t="n">
        <v>2</v>
      </c>
      <c r="C296" s="0" t="n">
        <v>60</v>
      </c>
      <c r="D296" s="0" t="n">
        <v>1974</v>
      </c>
      <c r="E296" s="0" t="n">
        <v>2024</v>
      </c>
      <c r="F296" s="1" t="s">
        <v>19</v>
      </c>
      <c r="G296" s="0" t="n">
        <v>62000000</v>
      </c>
      <c r="H296" s="0" t="n">
        <f aca="false">LN(G296/C296)</f>
        <v>13.8483003807873</v>
      </c>
      <c r="I296" s="0" t="n">
        <f aca="false">B296</f>
        <v>2</v>
      </c>
      <c r="J296" s="0" t="n">
        <f aca="false">E296-D296</f>
        <v>50</v>
      </c>
      <c r="K296" s="0" t="n">
        <f aca="false">C296</f>
        <v>60</v>
      </c>
      <c r="L296" s="0" t="n">
        <f aca="false">IF(F296="改装済み",1,0)</f>
        <v>0</v>
      </c>
      <c r="M296" s="0" t="n">
        <f aca="false">IF(A296="池尻大橋",1,0)</f>
        <v>0</v>
      </c>
      <c r="N296" s="0" t="n">
        <f aca="false">IF(A296="三軒茶屋",1,0)</f>
        <v>1</v>
      </c>
      <c r="O296" s="0" t="n">
        <f aca="false">IF(A296="駒沢大学",1,0)</f>
        <v>0</v>
      </c>
      <c r="P296" s="0" t="n">
        <f aca="false">IF(A296="桜新町",1,0)</f>
        <v>0</v>
      </c>
      <c r="Q296" s="0" t="n">
        <f aca="false">IF(A296="二子玉川",1,0)</f>
        <v>0</v>
      </c>
      <c r="R296" s="0" t="n">
        <f aca="false">IF(E296=2021,1,0)</f>
        <v>0</v>
      </c>
      <c r="S296" s="0" t="n">
        <f aca="false">IF(E296=2022,1,0)</f>
        <v>0</v>
      </c>
      <c r="T296" s="0" t="n">
        <f aca="false">IF(E296=2023,1,0)</f>
        <v>0</v>
      </c>
      <c r="U296" s="0" t="n">
        <f aca="false">IF(E296=2024,1,0)</f>
        <v>1</v>
      </c>
    </row>
    <row r="297" customFormat="false" ht="15" hidden="false" customHeight="false" outlineLevel="0" collapsed="false">
      <c r="A297" s="1" t="s">
        <v>10</v>
      </c>
      <c r="B297" s="0" t="n">
        <v>2</v>
      </c>
      <c r="C297" s="0" t="n">
        <v>60</v>
      </c>
      <c r="D297" s="0" t="n">
        <v>1974</v>
      </c>
      <c r="E297" s="0" t="n">
        <v>2024</v>
      </c>
      <c r="F297" s="1" t="s">
        <v>19</v>
      </c>
      <c r="G297" s="0" t="n">
        <v>53000000</v>
      </c>
      <c r="H297" s="0" t="n">
        <f aca="false">LN(G297/C297)</f>
        <v>13.6914579092943</v>
      </c>
      <c r="I297" s="0" t="n">
        <f aca="false">B297</f>
        <v>2</v>
      </c>
      <c r="J297" s="0" t="n">
        <f aca="false">E297-D297</f>
        <v>50</v>
      </c>
      <c r="K297" s="0" t="n">
        <f aca="false">C297</f>
        <v>60</v>
      </c>
      <c r="L297" s="0" t="n">
        <f aca="false">IF(F297="改装済み",1,0)</f>
        <v>0</v>
      </c>
      <c r="M297" s="0" t="n">
        <f aca="false">IF(A297="池尻大橋",1,0)</f>
        <v>0</v>
      </c>
      <c r="N297" s="0" t="n">
        <f aca="false">IF(A297="三軒茶屋",1,0)</f>
        <v>1</v>
      </c>
      <c r="O297" s="0" t="n">
        <f aca="false">IF(A297="駒沢大学",1,0)</f>
        <v>0</v>
      </c>
      <c r="P297" s="0" t="n">
        <f aca="false">IF(A297="桜新町",1,0)</f>
        <v>0</v>
      </c>
      <c r="Q297" s="0" t="n">
        <f aca="false">IF(A297="二子玉川",1,0)</f>
        <v>0</v>
      </c>
      <c r="R297" s="0" t="n">
        <f aca="false">IF(E297=2021,1,0)</f>
        <v>0</v>
      </c>
      <c r="S297" s="0" t="n">
        <f aca="false">IF(E297=2022,1,0)</f>
        <v>0</v>
      </c>
      <c r="T297" s="0" t="n">
        <f aca="false">IF(E297=2023,1,0)</f>
        <v>0</v>
      </c>
      <c r="U297" s="0" t="n">
        <f aca="false">IF(E297=2024,1,0)</f>
        <v>1</v>
      </c>
    </row>
    <row r="298" customFormat="false" ht="15" hidden="false" customHeight="false" outlineLevel="0" collapsed="false">
      <c r="A298" s="1" t="s">
        <v>10</v>
      </c>
      <c r="B298" s="0" t="n">
        <v>10</v>
      </c>
      <c r="C298" s="0" t="n">
        <v>120</v>
      </c>
      <c r="D298" s="0" t="n">
        <v>2008</v>
      </c>
      <c r="E298" s="0" t="n">
        <v>2024</v>
      </c>
      <c r="F298" s="1" t="s">
        <v>19</v>
      </c>
      <c r="G298" s="0" t="n">
        <v>250000000</v>
      </c>
      <c r="H298" s="0" t="n">
        <f aca="false">LN(G298/C298)</f>
        <v>14.5494797330445</v>
      </c>
      <c r="I298" s="0" t="n">
        <f aca="false">B298</f>
        <v>10</v>
      </c>
      <c r="J298" s="0" t="n">
        <f aca="false">E298-D298</f>
        <v>16</v>
      </c>
      <c r="K298" s="0" t="n">
        <f aca="false">C298</f>
        <v>120</v>
      </c>
      <c r="L298" s="0" t="n">
        <f aca="false">IF(F298="改装済み",1,0)</f>
        <v>0</v>
      </c>
      <c r="M298" s="0" t="n">
        <f aca="false">IF(A298="池尻大橋",1,0)</f>
        <v>0</v>
      </c>
      <c r="N298" s="0" t="n">
        <f aca="false">IF(A298="三軒茶屋",1,0)</f>
        <v>1</v>
      </c>
      <c r="O298" s="0" t="n">
        <f aca="false">IF(A298="駒沢大学",1,0)</f>
        <v>0</v>
      </c>
      <c r="P298" s="0" t="n">
        <f aca="false">IF(A298="桜新町",1,0)</f>
        <v>0</v>
      </c>
      <c r="Q298" s="0" t="n">
        <f aca="false">IF(A298="二子玉川",1,0)</f>
        <v>0</v>
      </c>
      <c r="R298" s="0" t="n">
        <f aca="false">IF(E298=2021,1,0)</f>
        <v>0</v>
      </c>
      <c r="S298" s="0" t="n">
        <f aca="false">IF(E298=2022,1,0)</f>
        <v>0</v>
      </c>
      <c r="T298" s="0" t="n">
        <f aca="false">IF(E298=2023,1,0)</f>
        <v>0</v>
      </c>
      <c r="U298" s="0" t="n">
        <f aca="false">IF(E298=2024,1,0)</f>
        <v>1</v>
      </c>
    </row>
    <row r="299" customFormat="false" ht="15" hidden="false" customHeight="false" outlineLevel="0" collapsed="false">
      <c r="A299" s="1" t="s">
        <v>10</v>
      </c>
      <c r="B299" s="0" t="n">
        <v>10</v>
      </c>
      <c r="C299" s="0" t="n">
        <v>95</v>
      </c>
      <c r="D299" s="0" t="n">
        <v>2008</v>
      </c>
      <c r="E299" s="0" t="n">
        <v>2023</v>
      </c>
      <c r="F299" s="1" t="s">
        <v>19</v>
      </c>
      <c r="G299" s="0" t="n">
        <v>170000000</v>
      </c>
      <c r="H299" s="0" t="n">
        <f aca="false">LN(G299/C299)</f>
        <v>14.397432103414</v>
      </c>
      <c r="I299" s="0" t="n">
        <f aca="false">B299</f>
        <v>10</v>
      </c>
      <c r="J299" s="0" t="n">
        <f aca="false">E299-D299</f>
        <v>15</v>
      </c>
      <c r="K299" s="0" t="n">
        <f aca="false">C299</f>
        <v>95</v>
      </c>
      <c r="L299" s="0" t="n">
        <f aca="false">IF(F299="改装済み",1,0)</f>
        <v>0</v>
      </c>
      <c r="M299" s="0" t="n">
        <f aca="false">IF(A299="池尻大橋",1,0)</f>
        <v>0</v>
      </c>
      <c r="N299" s="0" t="n">
        <f aca="false">IF(A299="三軒茶屋",1,0)</f>
        <v>1</v>
      </c>
      <c r="O299" s="0" t="n">
        <f aca="false">IF(A299="駒沢大学",1,0)</f>
        <v>0</v>
      </c>
      <c r="P299" s="0" t="n">
        <f aca="false">IF(A299="桜新町",1,0)</f>
        <v>0</v>
      </c>
      <c r="Q299" s="0" t="n">
        <f aca="false">IF(A299="二子玉川",1,0)</f>
        <v>0</v>
      </c>
      <c r="R299" s="0" t="n">
        <f aca="false">IF(E299=2021,1,0)</f>
        <v>0</v>
      </c>
      <c r="S299" s="0" t="n">
        <f aca="false">IF(E299=2022,1,0)</f>
        <v>0</v>
      </c>
      <c r="T299" s="0" t="n">
        <f aca="false">IF(E299=2023,1,0)</f>
        <v>1</v>
      </c>
      <c r="U299" s="0" t="n">
        <f aca="false">IF(E299=2024,1,0)</f>
        <v>0</v>
      </c>
    </row>
    <row r="300" customFormat="false" ht="15" hidden="false" customHeight="false" outlineLevel="0" collapsed="false">
      <c r="A300" s="1" t="s">
        <v>10</v>
      </c>
      <c r="B300" s="0" t="n">
        <v>10</v>
      </c>
      <c r="C300" s="0" t="n">
        <v>55</v>
      </c>
      <c r="D300" s="0" t="n">
        <v>1971</v>
      </c>
      <c r="E300" s="0" t="n">
        <v>2023</v>
      </c>
      <c r="F300" s="1" t="s">
        <v>19</v>
      </c>
      <c r="G300" s="0" t="n">
        <v>31000000</v>
      </c>
      <c r="H300" s="0" t="n">
        <f aca="false">LN(G300/C300)</f>
        <v>13.2421645772169</v>
      </c>
      <c r="I300" s="0" t="n">
        <f aca="false">B300</f>
        <v>10</v>
      </c>
      <c r="J300" s="0" t="n">
        <f aca="false">E300-D300</f>
        <v>52</v>
      </c>
      <c r="K300" s="0" t="n">
        <f aca="false">C300</f>
        <v>55</v>
      </c>
      <c r="L300" s="0" t="n">
        <f aca="false">IF(F300="改装済み",1,0)</f>
        <v>0</v>
      </c>
      <c r="M300" s="0" t="n">
        <f aca="false">IF(A300="池尻大橋",1,0)</f>
        <v>0</v>
      </c>
      <c r="N300" s="0" t="n">
        <f aca="false">IF(A300="三軒茶屋",1,0)</f>
        <v>1</v>
      </c>
      <c r="O300" s="0" t="n">
        <f aca="false">IF(A300="駒沢大学",1,0)</f>
        <v>0</v>
      </c>
      <c r="P300" s="0" t="n">
        <f aca="false">IF(A300="桜新町",1,0)</f>
        <v>0</v>
      </c>
      <c r="Q300" s="0" t="n">
        <f aca="false">IF(A300="二子玉川",1,0)</f>
        <v>0</v>
      </c>
      <c r="R300" s="0" t="n">
        <f aca="false">IF(E300=2021,1,0)</f>
        <v>0</v>
      </c>
      <c r="S300" s="0" t="n">
        <f aca="false">IF(E300=2022,1,0)</f>
        <v>0</v>
      </c>
      <c r="T300" s="0" t="n">
        <f aca="false">IF(E300=2023,1,0)</f>
        <v>1</v>
      </c>
      <c r="U300" s="0" t="n">
        <f aca="false">IF(E300=2024,1,0)</f>
        <v>0</v>
      </c>
    </row>
    <row r="301" customFormat="false" ht="15" hidden="false" customHeight="false" outlineLevel="0" collapsed="false">
      <c r="A301" s="1" t="s">
        <v>10</v>
      </c>
      <c r="B301" s="0" t="n">
        <v>7</v>
      </c>
      <c r="C301" s="0" t="n">
        <v>50</v>
      </c>
      <c r="D301" s="0" t="n">
        <v>2000</v>
      </c>
      <c r="E301" s="0" t="n">
        <v>2023</v>
      </c>
      <c r="F301" s="1" t="s">
        <v>18</v>
      </c>
      <c r="G301" s="0" t="n">
        <v>74000000</v>
      </c>
      <c r="H301" s="0" t="n">
        <f aca="false">LN(G301/C301)</f>
        <v>14.2075526457403</v>
      </c>
      <c r="I301" s="0" t="n">
        <f aca="false">B301</f>
        <v>7</v>
      </c>
      <c r="J301" s="0" t="n">
        <f aca="false">E301-D301</f>
        <v>23</v>
      </c>
      <c r="K301" s="0" t="n">
        <f aca="false">C301</f>
        <v>50</v>
      </c>
      <c r="L301" s="0" t="n">
        <f aca="false">IF(F301="改装済み",1,0)</f>
        <v>1</v>
      </c>
      <c r="M301" s="0" t="n">
        <f aca="false">IF(A301="池尻大橋",1,0)</f>
        <v>0</v>
      </c>
      <c r="N301" s="0" t="n">
        <f aca="false">IF(A301="三軒茶屋",1,0)</f>
        <v>1</v>
      </c>
      <c r="O301" s="0" t="n">
        <f aca="false">IF(A301="駒沢大学",1,0)</f>
        <v>0</v>
      </c>
      <c r="P301" s="0" t="n">
        <f aca="false">IF(A301="桜新町",1,0)</f>
        <v>0</v>
      </c>
      <c r="Q301" s="0" t="n">
        <f aca="false">IF(A301="二子玉川",1,0)</f>
        <v>0</v>
      </c>
      <c r="R301" s="0" t="n">
        <f aca="false">IF(E301=2021,1,0)</f>
        <v>0</v>
      </c>
      <c r="S301" s="0" t="n">
        <f aca="false">IF(E301=2022,1,0)</f>
        <v>0</v>
      </c>
      <c r="T301" s="0" t="n">
        <f aca="false">IF(E301=2023,1,0)</f>
        <v>1</v>
      </c>
      <c r="U301" s="0" t="n">
        <f aca="false">IF(E301=2024,1,0)</f>
        <v>0</v>
      </c>
    </row>
    <row r="302" customFormat="false" ht="15" hidden="false" customHeight="false" outlineLevel="0" collapsed="false">
      <c r="A302" s="1" t="s">
        <v>10</v>
      </c>
      <c r="B302" s="0" t="n">
        <v>10</v>
      </c>
      <c r="C302" s="0" t="n">
        <v>90</v>
      </c>
      <c r="D302" s="0" t="n">
        <v>2008</v>
      </c>
      <c r="E302" s="0" t="n">
        <v>2023</v>
      </c>
      <c r="F302" s="1" t="s">
        <v>19</v>
      </c>
      <c r="G302" s="0" t="n">
        <v>270000000</v>
      </c>
      <c r="H302" s="0" t="n">
        <f aca="false">LN(G302/C302)</f>
        <v>14.9141228466324</v>
      </c>
      <c r="I302" s="0" t="n">
        <f aca="false">B302</f>
        <v>10</v>
      </c>
      <c r="J302" s="0" t="n">
        <f aca="false">E302-D302</f>
        <v>15</v>
      </c>
      <c r="K302" s="0" t="n">
        <f aca="false">C302</f>
        <v>90</v>
      </c>
      <c r="L302" s="0" t="n">
        <f aca="false">IF(F302="改装済み",1,0)</f>
        <v>0</v>
      </c>
      <c r="M302" s="0" t="n">
        <f aca="false">IF(A302="池尻大橋",1,0)</f>
        <v>0</v>
      </c>
      <c r="N302" s="0" t="n">
        <f aca="false">IF(A302="三軒茶屋",1,0)</f>
        <v>1</v>
      </c>
      <c r="O302" s="0" t="n">
        <f aca="false">IF(A302="駒沢大学",1,0)</f>
        <v>0</v>
      </c>
      <c r="P302" s="0" t="n">
        <f aca="false">IF(A302="桜新町",1,0)</f>
        <v>0</v>
      </c>
      <c r="Q302" s="0" t="n">
        <f aca="false">IF(A302="二子玉川",1,0)</f>
        <v>0</v>
      </c>
      <c r="R302" s="0" t="n">
        <f aca="false">IF(E302=2021,1,0)</f>
        <v>0</v>
      </c>
      <c r="S302" s="0" t="n">
        <f aca="false">IF(E302=2022,1,0)</f>
        <v>0</v>
      </c>
      <c r="T302" s="0" t="n">
        <f aca="false">IF(E302=2023,1,0)</f>
        <v>1</v>
      </c>
      <c r="U302" s="0" t="n">
        <f aca="false">IF(E302=2024,1,0)</f>
        <v>0</v>
      </c>
    </row>
    <row r="303" customFormat="false" ht="15" hidden="false" customHeight="false" outlineLevel="0" collapsed="false">
      <c r="A303" s="1" t="s">
        <v>10</v>
      </c>
      <c r="B303" s="0" t="n">
        <v>11</v>
      </c>
      <c r="C303" s="0" t="n">
        <v>70</v>
      </c>
      <c r="D303" s="0" t="n">
        <v>2013</v>
      </c>
      <c r="E303" s="0" t="n">
        <v>2023</v>
      </c>
      <c r="F303" s="1" t="s">
        <v>19</v>
      </c>
      <c r="G303" s="0" t="n">
        <v>93000000</v>
      </c>
      <c r="H303" s="0" t="n">
        <f aca="false">LN(G303/C303)</f>
        <v>14.0996148090682</v>
      </c>
      <c r="I303" s="0" t="n">
        <f aca="false">B303</f>
        <v>11</v>
      </c>
      <c r="J303" s="0" t="n">
        <f aca="false">E303-D303</f>
        <v>10</v>
      </c>
      <c r="K303" s="0" t="n">
        <f aca="false">C303</f>
        <v>70</v>
      </c>
      <c r="L303" s="0" t="n">
        <f aca="false">IF(F303="改装済み",1,0)</f>
        <v>0</v>
      </c>
      <c r="M303" s="0" t="n">
        <f aca="false">IF(A303="池尻大橋",1,0)</f>
        <v>0</v>
      </c>
      <c r="N303" s="0" t="n">
        <f aca="false">IF(A303="三軒茶屋",1,0)</f>
        <v>1</v>
      </c>
      <c r="O303" s="0" t="n">
        <f aca="false">IF(A303="駒沢大学",1,0)</f>
        <v>0</v>
      </c>
      <c r="P303" s="0" t="n">
        <f aca="false">IF(A303="桜新町",1,0)</f>
        <v>0</v>
      </c>
      <c r="Q303" s="0" t="n">
        <f aca="false">IF(A303="二子玉川",1,0)</f>
        <v>0</v>
      </c>
      <c r="R303" s="0" t="n">
        <f aca="false">IF(E303=2021,1,0)</f>
        <v>0</v>
      </c>
      <c r="S303" s="0" t="n">
        <f aca="false">IF(E303=2022,1,0)</f>
        <v>0</v>
      </c>
      <c r="T303" s="0" t="n">
        <f aca="false">IF(E303=2023,1,0)</f>
        <v>1</v>
      </c>
      <c r="U303" s="0" t="n">
        <f aca="false">IF(E303=2024,1,0)</f>
        <v>0</v>
      </c>
    </row>
    <row r="304" customFormat="false" ht="15" hidden="false" customHeight="false" outlineLevel="0" collapsed="false">
      <c r="A304" s="1" t="s">
        <v>10</v>
      </c>
      <c r="B304" s="0" t="n">
        <v>10</v>
      </c>
      <c r="C304" s="0" t="n">
        <v>120</v>
      </c>
      <c r="D304" s="0" t="n">
        <v>2008</v>
      </c>
      <c r="E304" s="0" t="n">
        <v>2023</v>
      </c>
      <c r="F304" s="1" t="s">
        <v>19</v>
      </c>
      <c r="G304" s="0" t="n">
        <v>220000000</v>
      </c>
      <c r="H304" s="0" t="n">
        <f aca="false">LN(G304/C304)</f>
        <v>14.4216463615346</v>
      </c>
      <c r="I304" s="0" t="n">
        <f aca="false">B304</f>
        <v>10</v>
      </c>
      <c r="J304" s="0" t="n">
        <f aca="false">E304-D304</f>
        <v>15</v>
      </c>
      <c r="K304" s="0" t="n">
        <f aca="false">C304</f>
        <v>120</v>
      </c>
      <c r="L304" s="0" t="n">
        <f aca="false">IF(F304="改装済み",1,0)</f>
        <v>0</v>
      </c>
      <c r="M304" s="0" t="n">
        <f aca="false">IF(A304="池尻大橋",1,0)</f>
        <v>0</v>
      </c>
      <c r="N304" s="0" t="n">
        <f aca="false">IF(A304="三軒茶屋",1,0)</f>
        <v>1</v>
      </c>
      <c r="O304" s="0" t="n">
        <f aca="false">IF(A304="駒沢大学",1,0)</f>
        <v>0</v>
      </c>
      <c r="P304" s="0" t="n">
        <f aca="false">IF(A304="桜新町",1,0)</f>
        <v>0</v>
      </c>
      <c r="Q304" s="0" t="n">
        <f aca="false">IF(A304="二子玉川",1,0)</f>
        <v>0</v>
      </c>
      <c r="R304" s="0" t="n">
        <f aca="false">IF(E304=2021,1,0)</f>
        <v>0</v>
      </c>
      <c r="S304" s="0" t="n">
        <f aca="false">IF(E304=2022,1,0)</f>
        <v>0</v>
      </c>
      <c r="T304" s="0" t="n">
        <f aca="false">IF(E304=2023,1,0)</f>
        <v>1</v>
      </c>
      <c r="U304" s="0" t="n">
        <f aca="false">IF(E304=2024,1,0)</f>
        <v>0</v>
      </c>
    </row>
    <row r="305" customFormat="false" ht="15" hidden="false" customHeight="false" outlineLevel="0" collapsed="false">
      <c r="A305" s="1" t="s">
        <v>10</v>
      </c>
      <c r="B305" s="0" t="n">
        <v>10</v>
      </c>
      <c r="C305" s="0" t="n">
        <v>75</v>
      </c>
      <c r="D305" s="0" t="n">
        <v>2008</v>
      </c>
      <c r="E305" s="0" t="n">
        <v>2022</v>
      </c>
      <c r="F305" s="1" t="s">
        <v>19</v>
      </c>
      <c r="G305" s="0" t="n">
        <v>120000000</v>
      </c>
      <c r="H305" s="0" t="n">
        <f aca="false">LN(G305/C305)</f>
        <v>14.28551418721</v>
      </c>
      <c r="I305" s="0" t="n">
        <f aca="false">B305</f>
        <v>10</v>
      </c>
      <c r="J305" s="0" t="n">
        <f aca="false">E305-D305</f>
        <v>14</v>
      </c>
      <c r="K305" s="0" t="n">
        <f aca="false">C305</f>
        <v>75</v>
      </c>
      <c r="L305" s="0" t="n">
        <f aca="false">IF(F305="改装済み",1,0)</f>
        <v>0</v>
      </c>
      <c r="M305" s="0" t="n">
        <f aca="false">IF(A305="池尻大橋",1,0)</f>
        <v>0</v>
      </c>
      <c r="N305" s="0" t="n">
        <f aca="false">IF(A305="三軒茶屋",1,0)</f>
        <v>1</v>
      </c>
      <c r="O305" s="0" t="n">
        <f aca="false">IF(A305="駒沢大学",1,0)</f>
        <v>0</v>
      </c>
      <c r="P305" s="0" t="n">
        <f aca="false">IF(A305="桜新町",1,0)</f>
        <v>0</v>
      </c>
      <c r="Q305" s="0" t="n">
        <f aca="false">IF(A305="二子玉川",1,0)</f>
        <v>0</v>
      </c>
      <c r="R305" s="0" t="n">
        <f aca="false">IF(E305=2021,1,0)</f>
        <v>0</v>
      </c>
      <c r="S305" s="0" t="n">
        <f aca="false">IF(E305=2022,1,0)</f>
        <v>1</v>
      </c>
      <c r="T305" s="0" t="n">
        <f aca="false">IF(E305=2023,1,0)</f>
        <v>0</v>
      </c>
      <c r="U305" s="0" t="n">
        <f aca="false">IF(E305=2024,1,0)</f>
        <v>0</v>
      </c>
    </row>
    <row r="306" customFormat="false" ht="15" hidden="false" customHeight="false" outlineLevel="0" collapsed="false">
      <c r="A306" s="1" t="s">
        <v>10</v>
      </c>
      <c r="B306" s="0" t="n">
        <v>10</v>
      </c>
      <c r="C306" s="0" t="n">
        <v>120</v>
      </c>
      <c r="D306" s="0" t="n">
        <v>2008</v>
      </c>
      <c r="E306" s="0" t="n">
        <v>2022</v>
      </c>
      <c r="F306" s="1" t="s">
        <v>18</v>
      </c>
      <c r="G306" s="0" t="n">
        <v>200000000</v>
      </c>
      <c r="H306" s="0" t="n">
        <f aca="false">LN(G306/C306)</f>
        <v>14.3263361817303</v>
      </c>
      <c r="I306" s="0" t="n">
        <f aca="false">B306</f>
        <v>10</v>
      </c>
      <c r="J306" s="0" t="n">
        <f aca="false">E306-D306</f>
        <v>14</v>
      </c>
      <c r="K306" s="0" t="n">
        <f aca="false">C306</f>
        <v>120</v>
      </c>
      <c r="L306" s="0" t="n">
        <f aca="false">IF(F306="改装済み",1,0)</f>
        <v>1</v>
      </c>
      <c r="M306" s="0" t="n">
        <f aca="false">IF(A306="池尻大橋",1,0)</f>
        <v>0</v>
      </c>
      <c r="N306" s="0" t="n">
        <f aca="false">IF(A306="三軒茶屋",1,0)</f>
        <v>1</v>
      </c>
      <c r="O306" s="0" t="n">
        <f aca="false">IF(A306="駒沢大学",1,0)</f>
        <v>0</v>
      </c>
      <c r="P306" s="0" t="n">
        <f aca="false">IF(A306="桜新町",1,0)</f>
        <v>0</v>
      </c>
      <c r="Q306" s="0" t="n">
        <f aca="false">IF(A306="二子玉川",1,0)</f>
        <v>0</v>
      </c>
      <c r="R306" s="0" t="n">
        <f aca="false">IF(E306=2021,1,0)</f>
        <v>0</v>
      </c>
      <c r="S306" s="0" t="n">
        <f aca="false">IF(E306=2022,1,0)</f>
        <v>1</v>
      </c>
      <c r="T306" s="0" t="n">
        <f aca="false">IF(E306=2023,1,0)</f>
        <v>0</v>
      </c>
      <c r="U306" s="0" t="n">
        <f aca="false">IF(E306=2024,1,0)</f>
        <v>0</v>
      </c>
    </row>
    <row r="307" customFormat="false" ht="15" hidden="false" customHeight="false" outlineLevel="0" collapsed="false">
      <c r="A307" s="1" t="s">
        <v>10</v>
      </c>
      <c r="B307" s="0" t="n">
        <v>5</v>
      </c>
      <c r="C307" s="0" t="n">
        <v>55</v>
      </c>
      <c r="D307" s="0" t="n">
        <v>1997</v>
      </c>
      <c r="E307" s="0" t="n">
        <v>2022</v>
      </c>
      <c r="F307" s="1" t="s">
        <v>19</v>
      </c>
      <c r="G307" s="0" t="n">
        <v>71000000</v>
      </c>
      <c r="H307" s="0" t="n">
        <f aca="false">LN(G307/C307)</f>
        <v>14.0708572497731</v>
      </c>
      <c r="I307" s="0" t="n">
        <f aca="false">B307</f>
        <v>5</v>
      </c>
      <c r="J307" s="0" t="n">
        <f aca="false">E307-D307</f>
        <v>25</v>
      </c>
      <c r="K307" s="0" t="n">
        <f aca="false">C307</f>
        <v>55</v>
      </c>
      <c r="L307" s="0" t="n">
        <f aca="false">IF(F307="改装済み",1,0)</f>
        <v>0</v>
      </c>
      <c r="M307" s="0" t="n">
        <f aca="false">IF(A307="池尻大橋",1,0)</f>
        <v>0</v>
      </c>
      <c r="N307" s="0" t="n">
        <f aca="false">IF(A307="三軒茶屋",1,0)</f>
        <v>1</v>
      </c>
      <c r="O307" s="0" t="n">
        <f aca="false">IF(A307="駒沢大学",1,0)</f>
        <v>0</v>
      </c>
      <c r="P307" s="0" t="n">
        <f aca="false">IF(A307="桜新町",1,0)</f>
        <v>0</v>
      </c>
      <c r="Q307" s="0" t="n">
        <f aca="false">IF(A307="二子玉川",1,0)</f>
        <v>0</v>
      </c>
      <c r="R307" s="0" t="n">
        <f aca="false">IF(E307=2021,1,0)</f>
        <v>0</v>
      </c>
      <c r="S307" s="0" t="n">
        <f aca="false">IF(E307=2022,1,0)</f>
        <v>1</v>
      </c>
      <c r="T307" s="0" t="n">
        <f aca="false">IF(E307=2023,1,0)</f>
        <v>0</v>
      </c>
      <c r="U307" s="0" t="n">
        <f aca="false">IF(E307=2024,1,0)</f>
        <v>0</v>
      </c>
    </row>
    <row r="308" customFormat="false" ht="15" hidden="false" customHeight="false" outlineLevel="0" collapsed="false">
      <c r="A308" s="1" t="s">
        <v>10</v>
      </c>
      <c r="B308" s="0" t="n">
        <v>10</v>
      </c>
      <c r="C308" s="0" t="n">
        <v>75</v>
      </c>
      <c r="D308" s="0" t="n">
        <v>2008</v>
      </c>
      <c r="E308" s="0" t="n">
        <v>2021</v>
      </c>
      <c r="F308" s="1" t="s">
        <v>19</v>
      </c>
      <c r="G308" s="0" t="n">
        <v>100000000</v>
      </c>
      <c r="H308" s="0" t="n">
        <f aca="false">LN(G308/C308)</f>
        <v>14.1031926304161</v>
      </c>
      <c r="I308" s="0" t="n">
        <f aca="false">B308</f>
        <v>10</v>
      </c>
      <c r="J308" s="0" t="n">
        <f aca="false">E308-D308</f>
        <v>13</v>
      </c>
      <c r="K308" s="0" t="n">
        <f aca="false">C308</f>
        <v>75</v>
      </c>
      <c r="L308" s="0" t="n">
        <f aca="false">IF(F308="改装済み",1,0)</f>
        <v>0</v>
      </c>
      <c r="M308" s="0" t="n">
        <f aca="false">IF(A308="池尻大橋",1,0)</f>
        <v>0</v>
      </c>
      <c r="N308" s="0" t="n">
        <f aca="false">IF(A308="三軒茶屋",1,0)</f>
        <v>1</v>
      </c>
      <c r="O308" s="0" t="n">
        <f aca="false">IF(A308="駒沢大学",1,0)</f>
        <v>0</v>
      </c>
      <c r="P308" s="0" t="n">
        <f aca="false">IF(A308="桜新町",1,0)</f>
        <v>0</v>
      </c>
      <c r="Q308" s="0" t="n">
        <f aca="false">IF(A308="二子玉川",1,0)</f>
        <v>0</v>
      </c>
      <c r="R308" s="0" t="n">
        <f aca="false">IF(E308=2021,1,0)</f>
        <v>1</v>
      </c>
      <c r="S308" s="0" t="n">
        <f aca="false">IF(E308=2022,1,0)</f>
        <v>0</v>
      </c>
      <c r="T308" s="0" t="n">
        <f aca="false">IF(E308=2023,1,0)</f>
        <v>0</v>
      </c>
      <c r="U308" s="0" t="n">
        <f aca="false">IF(E308=2024,1,0)</f>
        <v>0</v>
      </c>
    </row>
    <row r="309" customFormat="false" ht="15" hidden="false" customHeight="false" outlineLevel="0" collapsed="false">
      <c r="A309" s="1" t="s">
        <v>10</v>
      </c>
      <c r="B309" s="0" t="n">
        <v>5</v>
      </c>
      <c r="C309" s="0" t="n">
        <v>65</v>
      </c>
      <c r="D309" s="0" t="n">
        <v>1997</v>
      </c>
      <c r="E309" s="0" t="n">
        <v>2021</v>
      </c>
      <c r="F309" s="1" t="s">
        <v>18</v>
      </c>
      <c r="G309" s="0" t="n">
        <v>80000000</v>
      </c>
      <c r="H309" s="0" t="n">
        <f aca="false">LN(G309/C309)</f>
        <v>14.0231499227425</v>
      </c>
      <c r="I309" s="0" t="n">
        <f aca="false">B309</f>
        <v>5</v>
      </c>
      <c r="J309" s="0" t="n">
        <f aca="false">E309-D309</f>
        <v>24</v>
      </c>
      <c r="K309" s="0" t="n">
        <f aca="false">C309</f>
        <v>65</v>
      </c>
      <c r="L309" s="0" t="n">
        <f aca="false">IF(F309="改装済み",1,0)</f>
        <v>1</v>
      </c>
      <c r="M309" s="0" t="n">
        <f aca="false">IF(A309="池尻大橋",1,0)</f>
        <v>0</v>
      </c>
      <c r="N309" s="0" t="n">
        <f aca="false">IF(A309="三軒茶屋",1,0)</f>
        <v>1</v>
      </c>
      <c r="O309" s="0" t="n">
        <f aca="false">IF(A309="駒沢大学",1,0)</f>
        <v>0</v>
      </c>
      <c r="P309" s="0" t="n">
        <f aca="false">IF(A309="桜新町",1,0)</f>
        <v>0</v>
      </c>
      <c r="Q309" s="0" t="n">
        <f aca="false">IF(A309="二子玉川",1,0)</f>
        <v>0</v>
      </c>
      <c r="R309" s="0" t="n">
        <f aca="false">IF(E309=2021,1,0)</f>
        <v>1</v>
      </c>
      <c r="S309" s="0" t="n">
        <f aca="false">IF(E309=2022,1,0)</f>
        <v>0</v>
      </c>
      <c r="T309" s="0" t="n">
        <f aca="false">IF(E309=2023,1,0)</f>
        <v>0</v>
      </c>
      <c r="U309" s="0" t="n">
        <f aca="false">IF(E309=2024,1,0)</f>
        <v>0</v>
      </c>
    </row>
    <row r="310" customFormat="false" ht="15" hidden="false" customHeight="false" outlineLevel="0" collapsed="false">
      <c r="A310" s="1" t="s">
        <v>10</v>
      </c>
      <c r="B310" s="0" t="n">
        <v>6</v>
      </c>
      <c r="C310" s="0" t="n">
        <v>50</v>
      </c>
      <c r="D310" s="0" t="n">
        <v>1978</v>
      </c>
      <c r="E310" s="0" t="n">
        <v>2021</v>
      </c>
      <c r="F310" s="1" t="s">
        <v>18</v>
      </c>
      <c r="G310" s="0" t="n">
        <v>44000000</v>
      </c>
      <c r="H310" s="0" t="n">
        <f aca="false">LN(G310/C310)</f>
        <v>13.6876771864544</v>
      </c>
      <c r="I310" s="0" t="n">
        <f aca="false">B310</f>
        <v>6</v>
      </c>
      <c r="J310" s="0" t="n">
        <f aca="false">E310-D310</f>
        <v>43</v>
      </c>
      <c r="K310" s="0" t="n">
        <f aca="false">C310</f>
        <v>50</v>
      </c>
      <c r="L310" s="0" t="n">
        <f aca="false">IF(F310="改装済み",1,0)</f>
        <v>1</v>
      </c>
      <c r="M310" s="0" t="n">
        <f aca="false">IF(A310="池尻大橋",1,0)</f>
        <v>0</v>
      </c>
      <c r="N310" s="0" t="n">
        <f aca="false">IF(A310="三軒茶屋",1,0)</f>
        <v>1</v>
      </c>
      <c r="O310" s="0" t="n">
        <f aca="false">IF(A310="駒沢大学",1,0)</f>
        <v>0</v>
      </c>
      <c r="P310" s="0" t="n">
        <f aca="false">IF(A310="桜新町",1,0)</f>
        <v>0</v>
      </c>
      <c r="Q310" s="0" t="n">
        <f aca="false">IF(A310="二子玉川",1,0)</f>
        <v>0</v>
      </c>
      <c r="R310" s="0" t="n">
        <f aca="false">IF(E310=2021,1,0)</f>
        <v>1</v>
      </c>
      <c r="S310" s="0" t="n">
        <f aca="false">IF(E310=2022,1,0)</f>
        <v>0</v>
      </c>
      <c r="T310" s="0" t="n">
        <f aca="false">IF(E310=2023,1,0)</f>
        <v>0</v>
      </c>
      <c r="U310" s="0" t="n">
        <f aca="false">IF(E310=2024,1,0)</f>
        <v>0</v>
      </c>
    </row>
    <row r="311" customFormat="false" ht="15" hidden="false" customHeight="false" outlineLevel="0" collapsed="false">
      <c r="A311" s="1" t="s">
        <v>10</v>
      </c>
      <c r="B311" s="0" t="n">
        <v>10</v>
      </c>
      <c r="C311" s="0" t="n">
        <v>90</v>
      </c>
      <c r="D311" s="0" t="n">
        <v>2008</v>
      </c>
      <c r="E311" s="0" t="n">
        <v>2021</v>
      </c>
      <c r="F311" s="1" t="s">
        <v>19</v>
      </c>
      <c r="G311" s="0" t="n">
        <v>190000000</v>
      </c>
      <c r="H311" s="0" t="n">
        <f aca="false">LN(G311/C311)</f>
        <v>14.5627249597945</v>
      </c>
      <c r="I311" s="0" t="n">
        <f aca="false">B311</f>
        <v>10</v>
      </c>
      <c r="J311" s="0" t="n">
        <f aca="false">E311-D311</f>
        <v>13</v>
      </c>
      <c r="K311" s="0" t="n">
        <f aca="false">C311</f>
        <v>90</v>
      </c>
      <c r="L311" s="0" t="n">
        <f aca="false">IF(F311="改装済み",1,0)</f>
        <v>0</v>
      </c>
      <c r="M311" s="0" t="n">
        <f aca="false">IF(A311="池尻大橋",1,0)</f>
        <v>0</v>
      </c>
      <c r="N311" s="0" t="n">
        <f aca="false">IF(A311="三軒茶屋",1,0)</f>
        <v>1</v>
      </c>
      <c r="O311" s="0" t="n">
        <f aca="false">IF(A311="駒沢大学",1,0)</f>
        <v>0</v>
      </c>
      <c r="P311" s="0" t="n">
        <f aca="false">IF(A311="桜新町",1,0)</f>
        <v>0</v>
      </c>
      <c r="Q311" s="0" t="n">
        <f aca="false">IF(A311="二子玉川",1,0)</f>
        <v>0</v>
      </c>
      <c r="R311" s="0" t="n">
        <f aca="false">IF(E311=2021,1,0)</f>
        <v>1</v>
      </c>
      <c r="S311" s="0" t="n">
        <f aca="false">IF(E311=2022,1,0)</f>
        <v>0</v>
      </c>
      <c r="T311" s="0" t="n">
        <f aca="false">IF(E311=2023,1,0)</f>
        <v>0</v>
      </c>
      <c r="U311" s="0" t="n">
        <f aca="false">IF(E311=2024,1,0)</f>
        <v>0</v>
      </c>
    </row>
    <row r="312" customFormat="false" ht="15" hidden="false" customHeight="false" outlineLevel="0" collapsed="false">
      <c r="A312" s="1" t="s">
        <v>13</v>
      </c>
      <c r="B312" s="0" t="n">
        <v>1</v>
      </c>
      <c r="C312" s="0" t="n">
        <v>60</v>
      </c>
      <c r="D312" s="0" t="n">
        <v>2005</v>
      </c>
      <c r="E312" s="0" t="n">
        <v>2025</v>
      </c>
      <c r="F312" s="1" t="s">
        <v>18</v>
      </c>
      <c r="G312" s="0" t="n">
        <v>150000000</v>
      </c>
      <c r="H312" s="0" t="n">
        <f aca="false">LN(G312/C312)</f>
        <v>14.7318012898384</v>
      </c>
      <c r="I312" s="0" t="n">
        <f aca="false">B312</f>
        <v>1</v>
      </c>
      <c r="J312" s="0" t="n">
        <f aca="false">E312-D312</f>
        <v>20</v>
      </c>
      <c r="K312" s="0" t="n">
        <f aca="false">C312</f>
        <v>60</v>
      </c>
      <c r="L312" s="0" t="n">
        <f aca="false">IF(F312="改装済み",1,0)</f>
        <v>1</v>
      </c>
      <c r="M312" s="0" t="n">
        <f aca="false">IF(A312="池尻大橋",1,0)</f>
        <v>0</v>
      </c>
      <c r="N312" s="0" t="n">
        <f aca="false">IF(A312="三軒茶屋",1,0)</f>
        <v>0</v>
      </c>
      <c r="O312" s="0" t="n">
        <f aca="false">IF(A312="駒沢大学",1,0)</f>
        <v>0</v>
      </c>
      <c r="P312" s="0" t="n">
        <f aca="false">IF(A312="桜新町",1,0)</f>
        <v>0</v>
      </c>
      <c r="Q312" s="0" t="n">
        <f aca="false">IF(A312="二子玉川",1,0)</f>
        <v>1</v>
      </c>
      <c r="R312" s="0" t="n">
        <f aca="false">IF(E312=2021,1,0)</f>
        <v>0</v>
      </c>
      <c r="S312" s="0" t="n">
        <f aca="false">IF(E312=2022,1,0)</f>
        <v>0</v>
      </c>
      <c r="T312" s="0" t="n">
        <f aca="false">IF(E312=2023,1,0)</f>
        <v>0</v>
      </c>
      <c r="U312" s="0" t="n">
        <f aca="false">IF(E312=2024,1,0)</f>
        <v>0</v>
      </c>
    </row>
    <row r="313" customFormat="false" ht="15" hidden="false" customHeight="false" outlineLevel="0" collapsed="false">
      <c r="A313" s="1" t="s">
        <v>13</v>
      </c>
      <c r="B313" s="0" t="n">
        <v>2</v>
      </c>
      <c r="C313" s="0" t="n">
        <v>55</v>
      </c>
      <c r="D313" s="0" t="n">
        <v>2024</v>
      </c>
      <c r="E313" s="0" t="n">
        <v>2025</v>
      </c>
      <c r="F313" s="1" t="s">
        <v>19</v>
      </c>
      <c r="G313" s="0" t="n">
        <v>140000000</v>
      </c>
      <c r="H313" s="0" t="n">
        <f aca="false">LN(G313/C313)</f>
        <v>14.7498197953411</v>
      </c>
      <c r="I313" s="0" t="n">
        <f aca="false">B313</f>
        <v>2</v>
      </c>
      <c r="J313" s="0" t="n">
        <f aca="false">E313-D313</f>
        <v>1</v>
      </c>
      <c r="K313" s="0" t="n">
        <f aca="false">C313</f>
        <v>55</v>
      </c>
      <c r="L313" s="0" t="n">
        <f aca="false">IF(F313="改装済み",1,0)</f>
        <v>0</v>
      </c>
      <c r="M313" s="0" t="n">
        <f aca="false">IF(A313="池尻大橋",1,0)</f>
        <v>0</v>
      </c>
      <c r="N313" s="0" t="n">
        <f aca="false">IF(A313="三軒茶屋",1,0)</f>
        <v>0</v>
      </c>
      <c r="O313" s="0" t="n">
        <f aca="false">IF(A313="駒沢大学",1,0)</f>
        <v>0</v>
      </c>
      <c r="P313" s="0" t="n">
        <f aca="false">IF(A313="桜新町",1,0)</f>
        <v>0</v>
      </c>
      <c r="Q313" s="0" t="n">
        <f aca="false">IF(A313="二子玉川",1,0)</f>
        <v>1</v>
      </c>
      <c r="R313" s="0" t="n">
        <f aca="false">IF(E313=2021,1,0)</f>
        <v>0</v>
      </c>
      <c r="S313" s="0" t="n">
        <f aca="false">IF(E313=2022,1,0)</f>
        <v>0</v>
      </c>
      <c r="T313" s="0" t="n">
        <f aca="false">IF(E313=2023,1,0)</f>
        <v>0</v>
      </c>
      <c r="U313" s="0" t="n">
        <f aca="false">IF(E313=2024,1,0)</f>
        <v>0</v>
      </c>
    </row>
    <row r="314" customFormat="false" ht="15" hidden="false" customHeight="false" outlineLevel="0" collapsed="false">
      <c r="A314" s="1" t="s">
        <v>13</v>
      </c>
      <c r="B314" s="0" t="n">
        <v>2</v>
      </c>
      <c r="C314" s="0" t="n">
        <v>70</v>
      </c>
      <c r="D314" s="0" t="n">
        <v>2024</v>
      </c>
      <c r="E314" s="0" t="n">
        <v>2025</v>
      </c>
      <c r="F314" s="1" t="s">
        <v>19</v>
      </c>
      <c r="G314" s="0" t="n">
        <v>200000000</v>
      </c>
      <c r="H314" s="0" t="n">
        <f aca="false">LN(G314/C314)</f>
        <v>14.865332682463</v>
      </c>
      <c r="I314" s="0" t="n">
        <f aca="false">B314</f>
        <v>2</v>
      </c>
      <c r="J314" s="0" t="n">
        <f aca="false">E314-D314</f>
        <v>1</v>
      </c>
      <c r="K314" s="0" t="n">
        <f aca="false">C314</f>
        <v>70</v>
      </c>
      <c r="L314" s="0" t="n">
        <f aca="false">IF(F314="改装済み",1,0)</f>
        <v>0</v>
      </c>
      <c r="M314" s="0" t="n">
        <f aca="false">IF(A314="池尻大橋",1,0)</f>
        <v>0</v>
      </c>
      <c r="N314" s="0" t="n">
        <f aca="false">IF(A314="三軒茶屋",1,0)</f>
        <v>0</v>
      </c>
      <c r="O314" s="0" t="n">
        <f aca="false">IF(A314="駒沢大学",1,0)</f>
        <v>0</v>
      </c>
      <c r="P314" s="0" t="n">
        <f aca="false">IF(A314="桜新町",1,0)</f>
        <v>0</v>
      </c>
      <c r="Q314" s="0" t="n">
        <f aca="false">IF(A314="二子玉川",1,0)</f>
        <v>1</v>
      </c>
      <c r="R314" s="0" t="n">
        <f aca="false">IF(E314=2021,1,0)</f>
        <v>0</v>
      </c>
      <c r="S314" s="0" t="n">
        <f aca="false">IF(E314=2022,1,0)</f>
        <v>0</v>
      </c>
      <c r="T314" s="0" t="n">
        <f aca="false">IF(E314=2023,1,0)</f>
        <v>0</v>
      </c>
      <c r="U314" s="0" t="n">
        <f aca="false">IF(E314=2024,1,0)</f>
        <v>0</v>
      </c>
    </row>
    <row r="315" customFormat="false" ht="15" hidden="false" customHeight="false" outlineLevel="0" collapsed="false">
      <c r="A315" s="1" t="s">
        <v>13</v>
      </c>
      <c r="B315" s="0" t="n">
        <v>1</v>
      </c>
      <c r="C315" s="0" t="n">
        <v>70</v>
      </c>
      <c r="D315" s="0" t="n">
        <v>2005</v>
      </c>
      <c r="E315" s="0" t="n">
        <v>2025</v>
      </c>
      <c r="F315" s="1" t="s">
        <v>19</v>
      </c>
      <c r="G315" s="0" t="n">
        <v>150000000</v>
      </c>
      <c r="H315" s="0" t="n">
        <f aca="false">LN(G315/C315)</f>
        <v>14.5776506100112</v>
      </c>
      <c r="I315" s="0" t="n">
        <f aca="false">B315</f>
        <v>1</v>
      </c>
      <c r="J315" s="0" t="n">
        <f aca="false">E315-D315</f>
        <v>20</v>
      </c>
      <c r="K315" s="0" t="n">
        <f aca="false">C315</f>
        <v>70</v>
      </c>
      <c r="L315" s="0" t="n">
        <f aca="false">IF(F315="改装済み",1,0)</f>
        <v>0</v>
      </c>
      <c r="M315" s="0" t="n">
        <f aca="false">IF(A315="池尻大橋",1,0)</f>
        <v>0</v>
      </c>
      <c r="N315" s="0" t="n">
        <f aca="false">IF(A315="三軒茶屋",1,0)</f>
        <v>0</v>
      </c>
      <c r="O315" s="0" t="n">
        <f aca="false">IF(A315="駒沢大学",1,0)</f>
        <v>0</v>
      </c>
      <c r="P315" s="0" t="n">
        <f aca="false">IF(A315="桜新町",1,0)</f>
        <v>0</v>
      </c>
      <c r="Q315" s="0" t="n">
        <f aca="false">IF(A315="二子玉川",1,0)</f>
        <v>1</v>
      </c>
      <c r="R315" s="0" t="n">
        <f aca="false">IF(E315=2021,1,0)</f>
        <v>0</v>
      </c>
      <c r="S315" s="0" t="n">
        <f aca="false">IF(E315=2022,1,0)</f>
        <v>0</v>
      </c>
      <c r="T315" s="0" t="n">
        <f aca="false">IF(E315=2023,1,0)</f>
        <v>0</v>
      </c>
      <c r="U315" s="0" t="n">
        <f aca="false">IF(E315=2024,1,0)</f>
        <v>0</v>
      </c>
    </row>
    <row r="316" customFormat="false" ht="15" hidden="false" customHeight="false" outlineLevel="0" collapsed="false">
      <c r="A316" s="1" t="s">
        <v>13</v>
      </c>
      <c r="B316" s="0" t="n">
        <v>6</v>
      </c>
      <c r="C316" s="0" t="n">
        <v>65</v>
      </c>
      <c r="D316" s="0" t="n">
        <v>2010</v>
      </c>
      <c r="E316" s="0" t="n">
        <v>2025</v>
      </c>
      <c r="F316" s="1" t="s">
        <v>19</v>
      </c>
      <c r="G316" s="0" t="n">
        <v>150000000</v>
      </c>
      <c r="H316" s="0" t="n">
        <f aca="false">LN(G316/C316)</f>
        <v>14.6517585821649</v>
      </c>
      <c r="I316" s="0" t="n">
        <f aca="false">B316</f>
        <v>6</v>
      </c>
      <c r="J316" s="0" t="n">
        <f aca="false">E316-D316</f>
        <v>15</v>
      </c>
      <c r="K316" s="0" t="n">
        <f aca="false">C316</f>
        <v>65</v>
      </c>
      <c r="L316" s="0" t="n">
        <f aca="false">IF(F316="改装済み",1,0)</f>
        <v>0</v>
      </c>
      <c r="M316" s="0" t="n">
        <f aca="false">IF(A316="池尻大橋",1,0)</f>
        <v>0</v>
      </c>
      <c r="N316" s="0" t="n">
        <f aca="false">IF(A316="三軒茶屋",1,0)</f>
        <v>0</v>
      </c>
      <c r="O316" s="0" t="n">
        <f aca="false">IF(A316="駒沢大学",1,0)</f>
        <v>0</v>
      </c>
      <c r="P316" s="0" t="n">
        <f aca="false">IF(A316="桜新町",1,0)</f>
        <v>0</v>
      </c>
      <c r="Q316" s="0" t="n">
        <f aca="false">IF(A316="二子玉川",1,0)</f>
        <v>1</v>
      </c>
      <c r="R316" s="0" t="n">
        <f aca="false">IF(E316=2021,1,0)</f>
        <v>0</v>
      </c>
      <c r="S316" s="0" t="n">
        <f aca="false">IF(E316=2022,1,0)</f>
        <v>0</v>
      </c>
      <c r="T316" s="0" t="n">
        <f aca="false">IF(E316=2023,1,0)</f>
        <v>0</v>
      </c>
      <c r="U316" s="0" t="n">
        <f aca="false">IF(E316=2024,1,0)</f>
        <v>0</v>
      </c>
    </row>
    <row r="317" customFormat="false" ht="15" hidden="false" customHeight="false" outlineLevel="0" collapsed="false">
      <c r="A317" s="1" t="s">
        <v>13</v>
      </c>
      <c r="B317" s="0" t="n">
        <v>6</v>
      </c>
      <c r="C317" s="0" t="n">
        <v>60</v>
      </c>
      <c r="D317" s="0" t="n">
        <v>1999</v>
      </c>
      <c r="E317" s="0" t="n">
        <v>2025</v>
      </c>
      <c r="F317" s="1" t="s">
        <v>19</v>
      </c>
      <c r="G317" s="0" t="n">
        <v>80000000</v>
      </c>
      <c r="H317" s="0" t="n">
        <f aca="false">LN(G317/C317)</f>
        <v>14.1031926304161</v>
      </c>
      <c r="I317" s="0" t="n">
        <f aca="false">B317</f>
        <v>6</v>
      </c>
      <c r="J317" s="0" t="n">
        <f aca="false">E317-D317</f>
        <v>26</v>
      </c>
      <c r="K317" s="0" t="n">
        <f aca="false">C317</f>
        <v>60</v>
      </c>
      <c r="L317" s="0" t="n">
        <f aca="false">IF(F317="改装済み",1,0)</f>
        <v>0</v>
      </c>
      <c r="M317" s="0" t="n">
        <f aca="false">IF(A317="池尻大橋",1,0)</f>
        <v>0</v>
      </c>
      <c r="N317" s="0" t="n">
        <f aca="false">IF(A317="三軒茶屋",1,0)</f>
        <v>0</v>
      </c>
      <c r="O317" s="0" t="n">
        <f aca="false">IF(A317="駒沢大学",1,0)</f>
        <v>0</v>
      </c>
      <c r="P317" s="0" t="n">
        <f aca="false">IF(A317="桜新町",1,0)</f>
        <v>0</v>
      </c>
      <c r="Q317" s="0" t="n">
        <f aca="false">IF(A317="二子玉川",1,0)</f>
        <v>1</v>
      </c>
      <c r="R317" s="0" t="n">
        <f aca="false">IF(E317=2021,1,0)</f>
        <v>0</v>
      </c>
      <c r="S317" s="0" t="n">
        <f aca="false">IF(E317=2022,1,0)</f>
        <v>0</v>
      </c>
      <c r="T317" s="0" t="n">
        <f aca="false">IF(E317=2023,1,0)</f>
        <v>0</v>
      </c>
      <c r="U317" s="0" t="n">
        <f aca="false">IF(E317=2024,1,0)</f>
        <v>0</v>
      </c>
    </row>
    <row r="318" customFormat="false" ht="15" hidden="false" customHeight="false" outlineLevel="0" collapsed="false">
      <c r="A318" s="1" t="s">
        <v>13</v>
      </c>
      <c r="B318" s="0" t="n">
        <v>6</v>
      </c>
      <c r="C318" s="0" t="n">
        <v>70</v>
      </c>
      <c r="D318" s="0" t="n">
        <v>2019</v>
      </c>
      <c r="E318" s="0" t="n">
        <v>2025</v>
      </c>
      <c r="F318" s="1" t="s">
        <v>19</v>
      </c>
      <c r="G318" s="0" t="n">
        <v>190000000</v>
      </c>
      <c r="H318" s="0" t="n">
        <f aca="false">LN(G318/C318)</f>
        <v>14.8140393880754</v>
      </c>
      <c r="I318" s="0" t="n">
        <f aca="false">B318</f>
        <v>6</v>
      </c>
      <c r="J318" s="0" t="n">
        <f aca="false">E318-D318</f>
        <v>6</v>
      </c>
      <c r="K318" s="0" t="n">
        <f aca="false">C318</f>
        <v>70</v>
      </c>
      <c r="L318" s="0" t="n">
        <f aca="false">IF(F318="改装済み",1,0)</f>
        <v>0</v>
      </c>
      <c r="M318" s="0" t="n">
        <f aca="false">IF(A318="池尻大橋",1,0)</f>
        <v>0</v>
      </c>
      <c r="N318" s="0" t="n">
        <f aca="false">IF(A318="三軒茶屋",1,0)</f>
        <v>0</v>
      </c>
      <c r="O318" s="0" t="n">
        <f aca="false">IF(A318="駒沢大学",1,0)</f>
        <v>0</v>
      </c>
      <c r="P318" s="0" t="n">
        <f aca="false">IF(A318="桜新町",1,0)</f>
        <v>0</v>
      </c>
      <c r="Q318" s="0" t="n">
        <f aca="false">IF(A318="二子玉川",1,0)</f>
        <v>1</v>
      </c>
      <c r="R318" s="0" t="n">
        <f aca="false">IF(E318=2021,1,0)</f>
        <v>0</v>
      </c>
      <c r="S318" s="0" t="n">
        <f aca="false">IF(E318=2022,1,0)</f>
        <v>0</v>
      </c>
      <c r="T318" s="0" t="n">
        <f aca="false">IF(E318=2023,1,0)</f>
        <v>0</v>
      </c>
      <c r="U318" s="0" t="n">
        <f aca="false">IF(E318=2024,1,0)</f>
        <v>0</v>
      </c>
    </row>
    <row r="319" customFormat="false" ht="15" hidden="false" customHeight="false" outlineLevel="0" collapsed="false">
      <c r="A319" s="1" t="s">
        <v>13</v>
      </c>
      <c r="B319" s="0" t="n">
        <v>5</v>
      </c>
      <c r="C319" s="0" t="n">
        <v>70</v>
      </c>
      <c r="D319" s="0" t="n">
        <v>2000</v>
      </c>
      <c r="E319" s="0" t="n">
        <v>2025</v>
      </c>
      <c r="F319" s="1" t="s">
        <v>19</v>
      </c>
      <c r="G319" s="0" t="n">
        <v>87000000</v>
      </c>
      <c r="H319" s="0" t="n">
        <f aca="false">LN(G319/C319)</f>
        <v>14.0329234345695</v>
      </c>
      <c r="I319" s="0" t="n">
        <f aca="false">B319</f>
        <v>5</v>
      </c>
      <c r="J319" s="0" t="n">
        <f aca="false">E319-D319</f>
        <v>25</v>
      </c>
      <c r="K319" s="0" t="n">
        <f aca="false">C319</f>
        <v>70</v>
      </c>
      <c r="L319" s="0" t="n">
        <f aca="false">IF(F319="改装済み",1,0)</f>
        <v>0</v>
      </c>
      <c r="M319" s="0" t="n">
        <f aca="false">IF(A319="池尻大橋",1,0)</f>
        <v>0</v>
      </c>
      <c r="N319" s="0" t="n">
        <f aca="false">IF(A319="三軒茶屋",1,0)</f>
        <v>0</v>
      </c>
      <c r="O319" s="0" t="n">
        <f aca="false">IF(A319="駒沢大学",1,0)</f>
        <v>0</v>
      </c>
      <c r="P319" s="0" t="n">
        <f aca="false">IF(A319="桜新町",1,0)</f>
        <v>0</v>
      </c>
      <c r="Q319" s="0" t="n">
        <f aca="false">IF(A319="二子玉川",1,0)</f>
        <v>1</v>
      </c>
      <c r="R319" s="0" t="n">
        <f aca="false">IF(E319=2021,1,0)</f>
        <v>0</v>
      </c>
      <c r="S319" s="0" t="n">
        <f aca="false">IF(E319=2022,1,0)</f>
        <v>0</v>
      </c>
      <c r="T319" s="0" t="n">
        <f aca="false">IF(E319=2023,1,0)</f>
        <v>0</v>
      </c>
      <c r="U319" s="0" t="n">
        <f aca="false">IF(E319=2024,1,0)</f>
        <v>0</v>
      </c>
    </row>
    <row r="320" customFormat="false" ht="15" hidden="false" customHeight="false" outlineLevel="0" collapsed="false">
      <c r="A320" s="1" t="s">
        <v>13</v>
      </c>
      <c r="B320" s="0" t="n">
        <v>13</v>
      </c>
      <c r="C320" s="0" t="n">
        <v>50</v>
      </c>
      <c r="D320" s="0" t="n">
        <v>2002</v>
      </c>
      <c r="E320" s="0" t="n">
        <v>2025</v>
      </c>
      <c r="F320" s="1" t="s">
        <v>18</v>
      </c>
      <c r="G320" s="0" t="n">
        <v>62000000</v>
      </c>
      <c r="H320" s="0" t="n">
        <f aca="false">LN(G320/C320)</f>
        <v>14.0306219375812</v>
      </c>
      <c r="I320" s="0" t="n">
        <f aca="false">B320</f>
        <v>13</v>
      </c>
      <c r="J320" s="0" t="n">
        <f aca="false">E320-D320</f>
        <v>23</v>
      </c>
      <c r="K320" s="0" t="n">
        <f aca="false">C320</f>
        <v>50</v>
      </c>
      <c r="L320" s="0" t="n">
        <f aca="false">IF(F320="改装済み",1,0)</f>
        <v>1</v>
      </c>
      <c r="M320" s="0" t="n">
        <f aca="false">IF(A320="池尻大橋",1,0)</f>
        <v>0</v>
      </c>
      <c r="N320" s="0" t="n">
        <f aca="false">IF(A320="三軒茶屋",1,0)</f>
        <v>0</v>
      </c>
      <c r="O320" s="0" t="n">
        <f aca="false">IF(A320="駒沢大学",1,0)</f>
        <v>0</v>
      </c>
      <c r="P320" s="0" t="n">
        <f aca="false">IF(A320="桜新町",1,0)</f>
        <v>0</v>
      </c>
      <c r="Q320" s="0" t="n">
        <f aca="false">IF(A320="二子玉川",1,0)</f>
        <v>1</v>
      </c>
      <c r="R320" s="0" t="n">
        <f aca="false">IF(E320=2021,1,0)</f>
        <v>0</v>
      </c>
      <c r="S320" s="0" t="n">
        <f aca="false">IF(E320=2022,1,0)</f>
        <v>0</v>
      </c>
      <c r="T320" s="0" t="n">
        <f aca="false">IF(E320=2023,1,0)</f>
        <v>0</v>
      </c>
      <c r="U320" s="0" t="n">
        <f aca="false">IF(E320=2024,1,0)</f>
        <v>0</v>
      </c>
    </row>
    <row r="321" customFormat="false" ht="15" hidden="false" customHeight="false" outlineLevel="0" collapsed="false">
      <c r="A321" s="1" t="s">
        <v>13</v>
      </c>
      <c r="B321" s="0" t="n">
        <v>2</v>
      </c>
      <c r="C321" s="0" t="n">
        <v>70</v>
      </c>
      <c r="D321" s="0" t="n">
        <v>2024</v>
      </c>
      <c r="E321" s="0" t="n">
        <v>2025</v>
      </c>
      <c r="F321" s="1" t="s">
        <v>19</v>
      </c>
      <c r="G321" s="0" t="n">
        <v>200000000</v>
      </c>
      <c r="H321" s="0" t="n">
        <f aca="false">LN(G321/C321)</f>
        <v>14.865332682463</v>
      </c>
      <c r="I321" s="0" t="n">
        <f aca="false">B321</f>
        <v>2</v>
      </c>
      <c r="J321" s="0" t="n">
        <f aca="false">E321-D321</f>
        <v>1</v>
      </c>
      <c r="K321" s="0" t="n">
        <f aca="false">C321</f>
        <v>70</v>
      </c>
      <c r="L321" s="0" t="n">
        <f aca="false">IF(F321="改装済み",1,0)</f>
        <v>0</v>
      </c>
      <c r="M321" s="0" t="n">
        <f aca="false">IF(A321="池尻大橋",1,0)</f>
        <v>0</v>
      </c>
      <c r="N321" s="0" t="n">
        <f aca="false">IF(A321="三軒茶屋",1,0)</f>
        <v>0</v>
      </c>
      <c r="O321" s="0" t="n">
        <f aca="false">IF(A321="駒沢大学",1,0)</f>
        <v>0</v>
      </c>
      <c r="P321" s="0" t="n">
        <f aca="false">IF(A321="桜新町",1,0)</f>
        <v>0</v>
      </c>
      <c r="Q321" s="0" t="n">
        <f aca="false">IF(A321="二子玉川",1,0)</f>
        <v>1</v>
      </c>
      <c r="R321" s="0" t="n">
        <f aca="false">IF(E321=2021,1,0)</f>
        <v>0</v>
      </c>
      <c r="S321" s="0" t="n">
        <f aca="false">IF(E321=2022,1,0)</f>
        <v>0</v>
      </c>
      <c r="T321" s="0" t="n">
        <f aca="false">IF(E321=2023,1,0)</f>
        <v>0</v>
      </c>
      <c r="U321" s="0" t="n">
        <f aca="false">IF(E321=2024,1,0)</f>
        <v>0</v>
      </c>
    </row>
    <row r="322" customFormat="false" ht="15" hidden="false" customHeight="false" outlineLevel="0" collapsed="false">
      <c r="A322" s="1" t="s">
        <v>13</v>
      </c>
      <c r="B322" s="0" t="n">
        <v>6</v>
      </c>
      <c r="C322" s="0" t="n">
        <v>120</v>
      </c>
      <c r="D322" s="0" t="n">
        <v>2019</v>
      </c>
      <c r="E322" s="0" t="n">
        <v>2025</v>
      </c>
      <c r="F322" s="1" t="s">
        <v>19</v>
      </c>
      <c r="G322" s="0" t="n">
        <v>330000000</v>
      </c>
      <c r="H322" s="0" t="n">
        <f aca="false">LN(G322/C322)</f>
        <v>14.8271114696428</v>
      </c>
      <c r="I322" s="0" t="n">
        <f aca="false">B322</f>
        <v>6</v>
      </c>
      <c r="J322" s="0" t="n">
        <f aca="false">E322-D322</f>
        <v>6</v>
      </c>
      <c r="K322" s="0" t="n">
        <f aca="false">C322</f>
        <v>120</v>
      </c>
      <c r="L322" s="0" t="n">
        <f aca="false">IF(F322="改装済み",1,0)</f>
        <v>0</v>
      </c>
      <c r="M322" s="0" t="n">
        <f aca="false">IF(A322="池尻大橋",1,0)</f>
        <v>0</v>
      </c>
      <c r="N322" s="0" t="n">
        <f aca="false">IF(A322="三軒茶屋",1,0)</f>
        <v>0</v>
      </c>
      <c r="O322" s="0" t="n">
        <f aca="false">IF(A322="駒沢大学",1,0)</f>
        <v>0</v>
      </c>
      <c r="P322" s="0" t="n">
        <f aca="false">IF(A322="桜新町",1,0)</f>
        <v>0</v>
      </c>
      <c r="Q322" s="0" t="n">
        <f aca="false">IF(A322="二子玉川",1,0)</f>
        <v>1</v>
      </c>
      <c r="R322" s="0" t="n">
        <f aca="false">IF(E322=2021,1,0)</f>
        <v>0</v>
      </c>
      <c r="S322" s="0" t="n">
        <f aca="false">IF(E322=2022,1,0)</f>
        <v>0</v>
      </c>
      <c r="T322" s="0" t="n">
        <f aca="false">IF(E322=2023,1,0)</f>
        <v>0</v>
      </c>
      <c r="U322" s="0" t="n">
        <f aca="false">IF(E322=2024,1,0)</f>
        <v>0</v>
      </c>
    </row>
    <row r="323" customFormat="false" ht="15" hidden="false" customHeight="false" outlineLevel="0" collapsed="false">
      <c r="A323" s="1" t="s">
        <v>13</v>
      </c>
      <c r="B323" s="0" t="n">
        <v>6</v>
      </c>
      <c r="C323" s="0" t="n">
        <v>60</v>
      </c>
      <c r="D323" s="0" t="n">
        <v>2019</v>
      </c>
      <c r="E323" s="0" t="n">
        <v>2025</v>
      </c>
      <c r="F323" s="1" t="s">
        <v>19</v>
      </c>
      <c r="G323" s="0" t="n">
        <v>120000000</v>
      </c>
      <c r="H323" s="0" t="n">
        <f aca="false">LN(G323/C323)</f>
        <v>14.5086577385242</v>
      </c>
      <c r="I323" s="0" t="n">
        <f aca="false">B323</f>
        <v>6</v>
      </c>
      <c r="J323" s="0" t="n">
        <f aca="false">E323-D323</f>
        <v>6</v>
      </c>
      <c r="K323" s="0" t="n">
        <f aca="false">C323</f>
        <v>60</v>
      </c>
      <c r="L323" s="0" t="n">
        <f aca="false">IF(F323="改装済み",1,0)</f>
        <v>0</v>
      </c>
      <c r="M323" s="0" t="n">
        <f aca="false">IF(A323="池尻大橋",1,0)</f>
        <v>0</v>
      </c>
      <c r="N323" s="0" t="n">
        <f aca="false">IF(A323="三軒茶屋",1,0)</f>
        <v>0</v>
      </c>
      <c r="O323" s="0" t="n">
        <f aca="false">IF(A323="駒沢大学",1,0)</f>
        <v>0</v>
      </c>
      <c r="P323" s="0" t="n">
        <f aca="false">IF(A323="桜新町",1,0)</f>
        <v>0</v>
      </c>
      <c r="Q323" s="0" t="n">
        <f aca="false">IF(A323="二子玉川",1,0)</f>
        <v>1</v>
      </c>
      <c r="R323" s="0" t="n">
        <f aca="false">IF(E323=2021,1,0)</f>
        <v>0</v>
      </c>
      <c r="S323" s="0" t="n">
        <f aca="false">IF(E323=2022,1,0)</f>
        <v>0</v>
      </c>
      <c r="T323" s="0" t="n">
        <f aca="false">IF(E323=2023,1,0)</f>
        <v>0</v>
      </c>
      <c r="U323" s="0" t="n">
        <f aca="false">IF(E323=2024,1,0)</f>
        <v>0</v>
      </c>
    </row>
    <row r="324" customFormat="false" ht="15" hidden="false" customHeight="false" outlineLevel="0" collapsed="false">
      <c r="A324" s="1" t="s">
        <v>13</v>
      </c>
      <c r="B324" s="0" t="n">
        <v>2</v>
      </c>
      <c r="C324" s="0" t="n">
        <v>70</v>
      </c>
      <c r="D324" s="0" t="n">
        <v>2024</v>
      </c>
      <c r="E324" s="0" t="n">
        <v>2024</v>
      </c>
      <c r="F324" s="1" t="s">
        <v>19</v>
      </c>
      <c r="G324" s="0" t="n">
        <v>180000000</v>
      </c>
      <c r="H324" s="0" t="n">
        <f aca="false">LN(G324/C324)</f>
        <v>14.7599721668051</v>
      </c>
      <c r="I324" s="0" t="n">
        <f aca="false">B324</f>
        <v>2</v>
      </c>
      <c r="J324" s="0" t="n">
        <f aca="false">E324-D324</f>
        <v>0</v>
      </c>
      <c r="K324" s="0" t="n">
        <f aca="false">C324</f>
        <v>70</v>
      </c>
      <c r="L324" s="0" t="n">
        <f aca="false">IF(F324="改装済み",1,0)</f>
        <v>0</v>
      </c>
      <c r="M324" s="0" t="n">
        <f aca="false">IF(A324="池尻大橋",1,0)</f>
        <v>0</v>
      </c>
      <c r="N324" s="0" t="n">
        <f aca="false">IF(A324="三軒茶屋",1,0)</f>
        <v>0</v>
      </c>
      <c r="O324" s="0" t="n">
        <f aca="false">IF(A324="駒沢大学",1,0)</f>
        <v>0</v>
      </c>
      <c r="P324" s="0" t="n">
        <f aca="false">IF(A324="桜新町",1,0)</f>
        <v>0</v>
      </c>
      <c r="Q324" s="0" t="n">
        <f aca="false">IF(A324="二子玉川",1,0)</f>
        <v>1</v>
      </c>
      <c r="R324" s="0" t="n">
        <f aca="false">IF(E324=2021,1,0)</f>
        <v>0</v>
      </c>
      <c r="S324" s="0" t="n">
        <f aca="false">IF(E324=2022,1,0)</f>
        <v>0</v>
      </c>
      <c r="T324" s="0" t="n">
        <f aca="false">IF(E324=2023,1,0)</f>
        <v>0</v>
      </c>
      <c r="U324" s="0" t="n">
        <f aca="false">IF(E324=2024,1,0)</f>
        <v>1</v>
      </c>
    </row>
    <row r="325" customFormat="false" ht="15" hidden="false" customHeight="false" outlineLevel="0" collapsed="false">
      <c r="A325" s="1" t="s">
        <v>13</v>
      </c>
      <c r="B325" s="0" t="n">
        <v>13</v>
      </c>
      <c r="C325" s="0" t="n">
        <v>55</v>
      </c>
      <c r="D325" s="0" t="n">
        <v>2002</v>
      </c>
      <c r="E325" s="0" t="n">
        <v>2024</v>
      </c>
      <c r="F325" s="1" t="s">
        <v>19</v>
      </c>
      <c r="G325" s="0" t="n">
        <v>56000000</v>
      </c>
      <c r="H325" s="0" t="n">
        <f aca="false">LN(G325/C325)</f>
        <v>13.833529063467</v>
      </c>
      <c r="I325" s="0" t="n">
        <f aca="false">B325</f>
        <v>13</v>
      </c>
      <c r="J325" s="0" t="n">
        <f aca="false">E325-D325</f>
        <v>22</v>
      </c>
      <c r="K325" s="0" t="n">
        <f aca="false">C325</f>
        <v>55</v>
      </c>
      <c r="L325" s="0" t="n">
        <f aca="false">IF(F325="改装済み",1,0)</f>
        <v>0</v>
      </c>
      <c r="M325" s="0" t="n">
        <f aca="false">IF(A325="池尻大橋",1,0)</f>
        <v>0</v>
      </c>
      <c r="N325" s="0" t="n">
        <f aca="false">IF(A325="三軒茶屋",1,0)</f>
        <v>0</v>
      </c>
      <c r="O325" s="0" t="n">
        <f aca="false">IF(A325="駒沢大学",1,0)</f>
        <v>0</v>
      </c>
      <c r="P325" s="0" t="n">
        <f aca="false">IF(A325="桜新町",1,0)</f>
        <v>0</v>
      </c>
      <c r="Q325" s="0" t="n">
        <f aca="false">IF(A325="二子玉川",1,0)</f>
        <v>1</v>
      </c>
      <c r="R325" s="0" t="n">
        <f aca="false">IF(E325=2021,1,0)</f>
        <v>0</v>
      </c>
      <c r="S325" s="0" t="n">
        <f aca="false">IF(E325=2022,1,0)</f>
        <v>0</v>
      </c>
      <c r="T325" s="0" t="n">
        <f aca="false">IF(E325=2023,1,0)</f>
        <v>0</v>
      </c>
      <c r="U325" s="0" t="n">
        <f aca="false">IF(E325=2024,1,0)</f>
        <v>1</v>
      </c>
    </row>
    <row r="326" customFormat="false" ht="15" hidden="false" customHeight="false" outlineLevel="0" collapsed="false">
      <c r="A326" s="1" t="s">
        <v>13</v>
      </c>
      <c r="B326" s="0" t="n">
        <v>8</v>
      </c>
      <c r="C326" s="0" t="n">
        <v>110</v>
      </c>
      <c r="D326" s="0" t="n">
        <v>2010</v>
      </c>
      <c r="E326" s="0" t="n">
        <v>2024</v>
      </c>
      <c r="F326" s="1" t="s">
        <v>19</v>
      </c>
      <c r="G326" s="0" t="n">
        <v>160000000</v>
      </c>
      <c r="H326" s="0" t="n">
        <f aca="false">LN(G326/C326)</f>
        <v>14.1902040074057</v>
      </c>
      <c r="I326" s="0" t="n">
        <f aca="false">B326</f>
        <v>8</v>
      </c>
      <c r="J326" s="0" t="n">
        <f aca="false">E326-D326</f>
        <v>14</v>
      </c>
      <c r="K326" s="0" t="n">
        <f aca="false">C326</f>
        <v>110</v>
      </c>
      <c r="L326" s="0" t="n">
        <f aca="false">IF(F326="改装済み",1,0)</f>
        <v>0</v>
      </c>
      <c r="M326" s="0" t="n">
        <f aca="false">IF(A326="池尻大橋",1,0)</f>
        <v>0</v>
      </c>
      <c r="N326" s="0" t="n">
        <f aca="false">IF(A326="三軒茶屋",1,0)</f>
        <v>0</v>
      </c>
      <c r="O326" s="0" t="n">
        <f aca="false">IF(A326="駒沢大学",1,0)</f>
        <v>0</v>
      </c>
      <c r="P326" s="0" t="n">
        <f aca="false">IF(A326="桜新町",1,0)</f>
        <v>0</v>
      </c>
      <c r="Q326" s="0" t="n">
        <f aca="false">IF(A326="二子玉川",1,0)</f>
        <v>1</v>
      </c>
      <c r="R326" s="0" t="n">
        <f aca="false">IF(E326=2021,1,0)</f>
        <v>0</v>
      </c>
      <c r="S326" s="0" t="n">
        <f aca="false">IF(E326=2022,1,0)</f>
        <v>0</v>
      </c>
      <c r="T326" s="0" t="n">
        <f aca="false">IF(E326=2023,1,0)</f>
        <v>0</v>
      </c>
      <c r="U326" s="0" t="n">
        <f aca="false">IF(E326=2024,1,0)</f>
        <v>1</v>
      </c>
    </row>
    <row r="327" customFormat="false" ht="15" hidden="false" customHeight="false" outlineLevel="0" collapsed="false">
      <c r="A327" s="1" t="s">
        <v>13</v>
      </c>
      <c r="B327" s="0" t="n">
        <v>6</v>
      </c>
      <c r="C327" s="0" t="n">
        <v>60</v>
      </c>
      <c r="D327" s="0" t="n">
        <v>2010</v>
      </c>
      <c r="E327" s="0" t="n">
        <v>2024</v>
      </c>
      <c r="F327" s="1" t="s">
        <v>18</v>
      </c>
      <c r="G327" s="0" t="n">
        <v>140000000</v>
      </c>
      <c r="H327" s="0" t="n">
        <f aca="false">LN(G327/C327)</f>
        <v>14.6628084183515</v>
      </c>
      <c r="I327" s="0" t="n">
        <f aca="false">B327</f>
        <v>6</v>
      </c>
      <c r="J327" s="0" t="n">
        <f aca="false">E327-D327</f>
        <v>14</v>
      </c>
      <c r="K327" s="0" t="n">
        <f aca="false">C327</f>
        <v>60</v>
      </c>
      <c r="L327" s="0" t="n">
        <f aca="false">IF(F327="改装済み",1,0)</f>
        <v>1</v>
      </c>
      <c r="M327" s="0" t="n">
        <f aca="false">IF(A327="池尻大橋",1,0)</f>
        <v>0</v>
      </c>
      <c r="N327" s="0" t="n">
        <f aca="false">IF(A327="三軒茶屋",1,0)</f>
        <v>0</v>
      </c>
      <c r="O327" s="0" t="n">
        <f aca="false">IF(A327="駒沢大学",1,0)</f>
        <v>0</v>
      </c>
      <c r="P327" s="0" t="n">
        <f aca="false">IF(A327="桜新町",1,0)</f>
        <v>0</v>
      </c>
      <c r="Q327" s="0" t="n">
        <f aca="false">IF(A327="二子玉川",1,0)</f>
        <v>1</v>
      </c>
      <c r="R327" s="0" t="n">
        <f aca="false">IF(E327=2021,1,0)</f>
        <v>0</v>
      </c>
      <c r="S327" s="0" t="n">
        <f aca="false">IF(E327=2022,1,0)</f>
        <v>0</v>
      </c>
      <c r="T327" s="0" t="n">
        <f aca="false">IF(E327=2023,1,0)</f>
        <v>0</v>
      </c>
      <c r="U327" s="0" t="n">
        <f aca="false">IF(E327=2024,1,0)</f>
        <v>1</v>
      </c>
    </row>
    <row r="328" customFormat="false" ht="15" hidden="false" customHeight="false" outlineLevel="0" collapsed="false">
      <c r="A328" s="1" t="s">
        <v>13</v>
      </c>
      <c r="B328" s="0" t="n">
        <v>6</v>
      </c>
      <c r="C328" s="0" t="n">
        <v>75</v>
      </c>
      <c r="D328" s="0" t="n">
        <v>2010</v>
      </c>
      <c r="E328" s="0" t="n">
        <v>2024</v>
      </c>
      <c r="F328" s="1" t="s">
        <v>18</v>
      </c>
      <c r="G328" s="0" t="n">
        <v>170000000</v>
      </c>
      <c r="H328" s="0" t="n">
        <f aca="false">LN(G328/C328)</f>
        <v>14.6338208814782</v>
      </c>
      <c r="I328" s="0" t="n">
        <f aca="false">B328</f>
        <v>6</v>
      </c>
      <c r="J328" s="0" t="n">
        <f aca="false">E328-D328</f>
        <v>14</v>
      </c>
      <c r="K328" s="0" t="n">
        <f aca="false">C328</f>
        <v>75</v>
      </c>
      <c r="L328" s="0" t="n">
        <f aca="false">IF(F328="改装済み",1,0)</f>
        <v>1</v>
      </c>
      <c r="M328" s="0" t="n">
        <f aca="false">IF(A328="池尻大橋",1,0)</f>
        <v>0</v>
      </c>
      <c r="N328" s="0" t="n">
        <f aca="false">IF(A328="三軒茶屋",1,0)</f>
        <v>0</v>
      </c>
      <c r="O328" s="0" t="n">
        <f aca="false">IF(A328="駒沢大学",1,0)</f>
        <v>0</v>
      </c>
      <c r="P328" s="0" t="n">
        <f aca="false">IF(A328="桜新町",1,0)</f>
        <v>0</v>
      </c>
      <c r="Q328" s="0" t="n">
        <f aca="false">IF(A328="二子玉川",1,0)</f>
        <v>1</v>
      </c>
      <c r="R328" s="0" t="n">
        <f aca="false">IF(E328=2021,1,0)</f>
        <v>0</v>
      </c>
      <c r="S328" s="0" t="n">
        <f aca="false">IF(E328=2022,1,0)</f>
        <v>0</v>
      </c>
      <c r="T328" s="0" t="n">
        <f aca="false">IF(E328=2023,1,0)</f>
        <v>0</v>
      </c>
      <c r="U328" s="0" t="n">
        <f aca="false">IF(E328=2024,1,0)</f>
        <v>1</v>
      </c>
    </row>
    <row r="329" customFormat="false" ht="15" hidden="false" customHeight="false" outlineLevel="0" collapsed="false">
      <c r="A329" s="1" t="s">
        <v>13</v>
      </c>
      <c r="B329" s="0" t="n">
        <v>1</v>
      </c>
      <c r="C329" s="0" t="n">
        <v>60</v>
      </c>
      <c r="D329" s="0" t="n">
        <v>2005</v>
      </c>
      <c r="E329" s="0" t="n">
        <v>2024</v>
      </c>
      <c r="F329" s="1" t="s">
        <v>19</v>
      </c>
      <c r="G329" s="0" t="n">
        <v>120000000</v>
      </c>
      <c r="H329" s="0" t="n">
        <f aca="false">LN(G329/C329)</f>
        <v>14.5086577385242</v>
      </c>
      <c r="I329" s="0" t="n">
        <f aca="false">B329</f>
        <v>1</v>
      </c>
      <c r="J329" s="0" t="n">
        <f aca="false">E329-D329</f>
        <v>19</v>
      </c>
      <c r="K329" s="0" t="n">
        <f aca="false">C329</f>
        <v>60</v>
      </c>
      <c r="L329" s="0" t="n">
        <f aca="false">IF(F329="改装済み",1,0)</f>
        <v>0</v>
      </c>
      <c r="M329" s="0" t="n">
        <f aca="false">IF(A329="池尻大橋",1,0)</f>
        <v>0</v>
      </c>
      <c r="N329" s="0" t="n">
        <f aca="false">IF(A329="三軒茶屋",1,0)</f>
        <v>0</v>
      </c>
      <c r="O329" s="0" t="n">
        <f aca="false">IF(A329="駒沢大学",1,0)</f>
        <v>0</v>
      </c>
      <c r="P329" s="0" t="n">
        <f aca="false">IF(A329="桜新町",1,0)</f>
        <v>0</v>
      </c>
      <c r="Q329" s="0" t="n">
        <f aca="false">IF(A329="二子玉川",1,0)</f>
        <v>1</v>
      </c>
      <c r="R329" s="0" t="n">
        <f aca="false">IF(E329=2021,1,0)</f>
        <v>0</v>
      </c>
      <c r="S329" s="0" t="n">
        <f aca="false">IF(E329=2022,1,0)</f>
        <v>0</v>
      </c>
      <c r="T329" s="0" t="n">
        <f aca="false">IF(E329=2023,1,0)</f>
        <v>0</v>
      </c>
      <c r="U329" s="0" t="n">
        <f aca="false">IF(E329=2024,1,0)</f>
        <v>1</v>
      </c>
    </row>
    <row r="330" customFormat="false" ht="15" hidden="false" customHeight="false" outlineLevel="0" collapsed="false">
      <c r="A330" s="1" t="s">
        <v>13</v>
      </c>
      <c r="B330" s="0" t="n">
        <v>1</v>
      </c>
      <c r="C330" s="0" t="n">
        <v>80</v>
      </c>
      <c r="D330" s="0" t="n">
        <v>2005</v>
      </c>
      <c r="E330" s="0" t="n">
        <v>2024</v>
      </c>
      <c r="F330" s="1" t="s">
        <v>18</v>
      </c>
      <c r="G330" s="0" t="n">
        <v>200000000</v>
      </c>
      <c r="H330" s="0" t="n">
        <f aca="false">LN(G330/C330)</f>
        <v>14.7318012898384</v>
      </c>
      <c r="I330" s="0" t="n">
        <f aca="false">B330</f>
        <v>1</v>
      </c>
      <c r="J330" s="0" t="n">
        <f aca="false">E330-D330</f>
        <v>19</v>
      </c>
      <c r="K330" s="0" t="n">
        <f aca="false">C330</f>
        <v>80</v>
      </c>
      <c r="L330" s="0" t="n">
        <f aca="false">IF(F330="改装済み",1,0)</f>
        <v>1</v>
      </c>
      <c r="M330" s="0" t="n">
        <f aca="false">IF(A330="池尻大橋",1,0)</f>
        <v>0</v>
      </c>
      <c r="N330" s="0" t="n">
        <f aca="false">IF(A330="三軒茶屋",1,0)</f>
        <v>0</v>
      </c>
      <c r="O330" s="0" t="n">
        <f aca="false">IF(A330="駒沢大学",1,0)</f>
        <v>0</v>
      </c>
      <c r="P330" s="0" t="n">
        <f aca="false">IF(A330="桜新町",1,0)</f>
        <v>0</v>
      </c>
      <c r="Q330" s="0" t="n">
        <f aca="false">IF(A330="二子玉川",1,0)</f>
        <v>1</v>
      </c>
      <c r="R330" s="0" t="n">
        <f aca="false">IF(E330=2021,1,0)</f>
        <v>0</v>
      </c>
      <c r="S330" s="0" t="n">
        <f aca="false">IF(E330=2022,1,0)</f>
        <v>0</v>
      </c>
      <c r="T330" s="0" t="n">
        <f aca="false">IF(E330=2023,1,0)</f>
        <v>0</v>
      </c>
      <c r="U330" s="0" t="n">
        <f aca="false">IF(E330=2024,1,0)</f>
        <v>1</v>
      </c>
    </row>
    <row r="331" customFormat="false" ht="15" hidden="false" customHeight="false" outlineLevel="0" collapsed="false">
      <c r="A331" s="1" t="s">
        <v>13</v>
      </c>
      <c r="B331" s="0" t="n">
        <v>13</v>
      </c>
      <c r="C331" s="0" t="n">
        <v>75</v>
      </c>
      <c r="D331" s="0" t="n">
        <v>2002</v>
      </c>
      <c r="E331" s="0" t="n">
        <v>2024</v>
      </c>
      <c r="F331" s="1" t="s">
        <v>19</v>
      </c>
      <c r="G331" s="0" t="n">
        <v>78000000</v>
      </c>
      <c r="H331" s="0" t="n">
        <f aca="false">LN(G331/C331)</f>
        <v>13.8547312711176</v>
      </c>
      <c r="I331" s="0" t="n">
        <f aca="false">B331</f>
        <v>13</v>
      </c>
      <c r="J331" s="0" t="n">
        <f aca="false">E331-D331</f>
        <v>22</v>
      </c>
      <c r="K331" s="0" t="n">
        <f aca="false">C331</f>
        <v>75</v>
      </c>
      <c r="L331" s="0" t="n">
        <f aca="false">IF(F331="改装済み",1,0)</f>
        <v>0</v>
      </c>
      <c r="M331" s="0" t="n">
        <f aca="false">IF(A331="池尻大橋",1,0)</f>
        <v>0</v>
      </c>
      <c r="N331" s="0" t="n">
        <f aca="false">IF(A331="三軒茶屋",1,0)</f>
        <v>0</v>
      </c>
      <c r="O331" s="0" t="n">
        <f aca="false">IF(A331="駒沢大学",1,0)</f>
        <v>0</v>
      </c>
      <c r="P331" s="0" t="n">
        <f aca="false">IF(A331="桜新町",1,0)</f>
        <v>0</v>
      </c>
      <c r="Q331" s="0" t="n">
        <f aca="false">IF(A331="二子玉川",1,0)</f>
        <v>1</v>
      </c>
      <c r="R331" s="0" t="n">
        <f aca="false">IF(E331=2021,1,0)</f>
        <v>0</v>
      </c>
      <c r="S331" s="0" t="n">
        <f aca="false">IF(E331=2022,1,0)</f>
        <v>0</v>
      </c>
      <c r="T331" s="0" t="n">
        <f aca="false">IF(E331=2023,1,0)</f>
        <v>0</v>
      </c>
      <c r="U331" s="0" t="n">
        <f aca="false">IF(E331=2024,1,0)</f>
        <v>1</v>
      </c>
    </row>
    <row r="332" customFormat="false" ht="15" hidden="false" customHeight="false" outlineLevel="0" collapsed="false">
      <c r="A332" s="1" t="s">
        <v>13</v>
      </c>
      <c r="B332" s="0" t="n">
        <v>1</v>
      </c>
      <c r="C332" s="0" t="n">
        <v>70</v>
      </c>
      <c r="D332" s="0" t="n">
        <v>2005</v>
      </c>
      <c r="E332" s="0" t="n">
        <v>2024</v>
      </c>
      <c r="F332" s="1" t="s">
        <v>19</v>
      </c>
      <c r="G332" s="0" t="n">
        <v>140000000</v>
      </c>
      <c r="H332" s="0" t="n">
        <f aca="false">LN(G332/C332)</f>
        <v>14.5086577385242</v>
      </c>
      <c r="I332" s="0" t="n">
        <f aca="false">B332</f>
        <v>1</v>
      </c>
      <c r="J332" s="0" t="n">
        <f aca="false">E332-D332</f>
        <v>19</v>
      </c>
      <c r="K332" s="0" t="n">
        <f aca="false">C332</f>
        <v>70</v>
      </c>
      <c r="L332" s="0" t="n">
        <f aca="false">IF(F332="改装済み",1,0)</f>
        <v>0</v>
      </c>
      <c r="M332" s="0" t="n">
        <f aca="false">IF(A332="池尻大橋",1,0)</f>
        <v>0</v>
      </c>
      <c r="N332" s="0" t="n">
        <f aca="false">IF(A332="三軒茶屋",1,0)</f>
        <v>0</v>
      </c>
      <c r="O332" s="0" t="n">
        <f aca="false">IF(A332="駒沢大学",1,0)</f>
        <v>0</v>
      </c>
      <c r="P332" s="0" t="n">
        <f aca="false">IF(A332="桜新町",1,0)</f>
        <v>0</v>
      </c>
      <c r="Q332" s="0" t="n">
        <f aca="false">IF(A332="二子玉川",1,0)</f>
        <v>1</v>
      </c>
      <c r="R332" s="0" t="n">
        <f aca="false">IF(E332=2021,1,0)</f>
        <v>0</v>
      </c>
      <c r="S332" s="0" t="n">
        <f aca="false">IF(E332=2022,1,0)</f>
        <v>0</v>
      </c>
      <c r="T332" s="0" t="n">
        <f aca="false">IF(E332=2023,1,0)</f>
        <v>0</v>
      </c>
      <c r="U332" s="0" t="n">
        <f aca="false">IF(E332=2024,1,0)</f>
        <v>1</v>
      </c>
    </row>
    <row r="333" customFormat="false" ht="15" hidden="false" customHeight="false" outlineLevel="0" collapsed="false">
      <c r="A333" s="1" t="s">
        <v>13</v>
      </c>
      <c r="B333" s="0" t="n">
        <v>6</v>
      </c>
      <c r="C333" s="0" t="n">
        <v>85</v>
      </c>
      <c r="D333" s="0" t="n">
        <v>2010</v>
      </c>
      <c r="E333" s="0" t="n">
        <v>2024</v>
      </c>
      <c r="F333" s="1" t="s">
        <v>19</v>
      </c>
      <c r="G333" s="0" t="n">
        <v>200000000</v>
      </c>
      <c r="H333" s="0" t="n">
        <f aca="false">LN(G333/C333)</f>
        <v>14.671176668022</v>
      </c>
      <c r="I333" s="0" t="n">
        <f aca="false">B333</f>
        <v>6</v>
      </c>
      <c r="J333" s="0" t="n">
        <f aca="false">E333-D333</f>
        <v>14</v>
      </c>
      <c r="K333" s="0" t="n">
        <f aca="false">C333</f>
        <v>85</v>
      </c>
      <c r="L333" s="0" t="n">
        <f aca="false">IF(F333="改装済み",1,0)</f>
        <v>0</v>
      </c>
      <c r="M333" s="0" t="n">
        <f aca="false">IF(A333="池尻大橋",1,0)</f>
        <v>0</v>
      </c>
      <c r="N333" s="0" t="n">
        <f aca="false">IF(A333="三軒茶屋",1,0)</f>
        <v>0</v>
      </c>
      <c r="O333" s="0" t="n">
        <f aca="false">IF(A333="駒沢大学",1,0)</f>
        <v>0</v>
      </c>
      <c r="P333" s="0" t="n">
        <f aca="false">IF(A333="桜新町",1,0)</f>
        <v>0</v>
      </c>
      <c r="Q333" s="0" t="n">
        <f aca="false">IF(A333="二子玉川",1,0)</f>
        <v>1</v>
      </c>
      <c r="R333" s="0" t="n">
        <f aca="false">IF(E333=2021,1,0)</f>
        <v>0</v>
      </c>
      <c r="S333" s="0" t="n">
        <f aca="false">IF(E333=2022,1,0)</f>
        <v>0</v>
      </c>
      <c r="T333" s="0" t="n">
        <f aca="false">IF(E333=2023,1,0)</f>
        <v>0</v>
      </c>
      <c r="U333" s="0" t="n">
        <f aca="false">IF(E333=2024,1,0)</f>
        <v>1</v>
      </c>
    </row>
    <row r="334" customFormat="false" ht="15" hidden="false" customHeight="false" outlineLevel="0" collapsed="false">
      <c r="A334" s="1" t="s">
        <v>13</v>
      </c>
      <c r="B334" s="0" t="n">
        <v>6</v>
      </c>
      <c r="C334" s="0" t="n">
        <v>55</v>
      </c>
      <c r="D334" s="0" t="n">
        <v>2002</v>
      </c>
      <c r="E334" s="0" t="n">
        <v>2024</v>
      </c>
      <c r="F334" s="1" t="s">
        <v>19</v>
      </c>
      <c r="G334" s="0" t="n">
        <v>67000000</v>
      </c>
      <c r="H334" s="0" t="n">
        <f aca="false">LN(G334/C334)</f>
        <v>14.0128699921228</v>
      </c>
      <c r="I334" s="0" t="n">
        <f aca="false">B334</f>
        <v>6</v>
      </c>
      <c r="J334" s="0" t="n">
        <f aca="false">E334-D334</f>
        <v>22</v>
      </c>
      <c r="K334" s="0" t="n">
        <f aca="false">C334</f>
        <v>55</v>
      </c>
      <c r="L334" s="0" t="n">
        <f aca="false">IF(F334="改装済み",1,0)</f>
        <v>0</v>
      </c>
      <c r="M334" s="0" t="n">
        <f aca="false">IF(A334="池尻大橋",1,0)</f>
        <v>0</v>
      </c>
      <c r="N334" s="0" t="n">
        <f aca="false">IF(A334="三軒茶屋",1,0)</f>
        <v>0</v>
      </c>
      <c r="O334" s="0" t="n">
        <f aca="false">IF(A334="駒沢大学",1,0)</f>
        <v>0</v>
      </c>
      <c r="P334" s="0" t="n">
        <f aca="false">IF(A334="桜新町",1,0)</f>
        <v>0</v>
      </c>
      <c r="Q334" s="0" t="n">
        <f aca="false">IF(A334="二子玉川",1,0)</f>
        <v>1</v>
      </c>
      <c r="R334" s="0" t="n">
        <f aca="false">IF(E334=2021,1,0)</f>
        <v>0</v>
      </c>
      <c r="S334" s="0" t="n">
        <f aca="false">IF(E334=2022,1,0)</f>
        <v>0</v>
      </c>
      <c r="T334" s="0" t="n">
        <f aca="false">IF(E334=2023,1,0)</f>
        <v>0</v>
      </c>
      <c r="U334" s="0" t="n">
        <f aca="false">IF(E334=2024,1,0)</f>
        <v>1</v>
      </c>
    </row>
    <row r="335" customFormat="false" ht="15" hidden="false" customHeight="false" outlineLevel="0" collapsed="false">
      <c r="A335" s="1" t="s">
        <v>13</v>
      </c>
      <c r="B335" s="0" t="n">
        <v>8</v>
      </c>
      <c r="C335" s="0" t="n">
        <v>55</v>
      </c>
      <c r="D335" s="0" t="n">
        <v>2010</v>
      </c>
      <c r="E335" s="0" t="n">
        <v>2024</v>
      </c>
      <c r="F335" s="1" t="s">
        <v>19</v>
      </c>
      <c r="G335" s="0" t="n">
        <v>94000000</v>
      </c>
      <c r="H335" s="0" t="n">
        <f aca="false">LN(G335/C335)</f>
        <v>14.3514721550018</v>
      </c>
      <c r="I335" s="0" t="n">
        <f aca="false">B335</f>
        <v>8</v>
      </c>
      <c r="J335" s="0" t="n">
        <f aca="false">E335-D335</f>
        <v>14</v>
      </c>
      <c r="K335" s="0" t="n">
        <f aca="false">C335</f>
        <v>55</v>
      </c>
      <c r="L335" s="0" t="n">
        <f aca="false">IF(F335="改装済み",1,0)</f>
        <v>0</v>
      </c>
      <c r="M335" s="0" t="n">
        <f aca="false">IF(A335="池尻大橋",1,0)</f>
        <v>0</v>
      </c>
      <c r="N335" s="0" t="n">
        <f aca="false">IF(A335="三軒茶屋",1,0)</f>
        <v>0</v>
      </c>
      <c r="O335" s="0" t="n">
        <f aca="false">IF(A335="駒沢大学",1,0)</f>
        <v>0</v>
      </c>
      <c r="P335" s="0" t="n">
        <f aca="false">IF(A335="桜新町",1,0)</f>
        <v>0</v>
      </c>
      <c r="Q335" s="0" t="n">
        <f aca="false">IF(A335="二子玉川",1,0)</f>
        <v>1</v>
      </c>
      <c r="R335" s="0" t="n">
        <f aca="false">IF(E335=2021,1,0)</f>
        <v>0</v>
      </c>
      <c r="S335" s="0" t="n">
        <f aca="false">IF(E335=2022,1,0)</f>
        <v>0</v>
      </c>
      <c r="T335" s="0" t="n">
        <f aca="false">IF(E335=2023,1,0)</f>
        <v>0</v>
      </c>
      <c r="U335" s="0" t="n">
        <f aca="false">IF(E335=2024,1,0)</f>
        <v>1</v>
      </c>
    </row>
    <row r="336" customFormat="false" ht="15" hidden="false" customHeight="false" outlineLevel="0" collapsed="false">
      <c r="A336" s="1" t="s">
        <v>13</v>
      </c>
      <c r="B336" s="0" t="n">
        <v>8</v>
      </c>
      <c r="C336" s="0" t="n">
        <v>70</v>
      </c>
      <c r="D336" s="0" t="n">
        <v>2010</v>
      </c>
      <c r="E336" s="0" t="n">
        <v>2024</v>
      </c>
      <c r="F336" s="1" t="s">
        <v>19</v>
      </c>
      <c r="G336" s="0" t="n">
        <v>130000000</v>
      </c>
      <c r="H336" s="0" t="n">
        <f aca="false">LN(G336/C336)</f>
        <v>14.4345497663705</v>
      </c>
      <c r="I336" s="0" t="n">
        <f aca="false">B336</f>
        <v>8</v>
      </c>
      <c r="J336" s="0" t="n">
        <f aca="false">E336-D336</f>
        <v>14</v>
      </c>
      <c r="K336" s="0" t="n">
        <f aca="false">C336</f>
        <v>70</v>
      </c>
      <c r="L336" s="0" t="n">
        <f aca="false">IF(F336="改装済み",1,0)</f>
        <v>0</v>
      </c>
      <c r="M336" s="0" t="n">
        <f aca="false">IF(A336="池尻大橋",1,0)</f>
        <v>0</v>
      </c>
      <c r="N336" s="0" t="n">
        <f aca="false">IF(A336="三軒茶屋",1,0)</f>
        <v>0</v>
      </c>
      <c r="O336" s="0" t="n">
        <f aca="false">IF(A336="駒沢大学",1,0)</f>
        <v>0</v>
      </c>
      <c r="P336" s="0" t="n">
        <f aca="false">IF(A336="桜新町",1,0)</f>
        <v>0</v>
      </c>
      <c r="Q336" s="0" t="n">
        <f aca="false">IF(A336="二子玉川",1,0)</f>
        <v>1</v>
      </c>
      <c r="R336" s="0" t="n">
        <f aca="false">IF(E336=2021,1,0)</f>
        <v>0</v>
      </c>
      <c r="S336" s="0" t="n">
        <f aca="false">IF(E336=2022,1,0)</f>
        <v>0</v>
      </c>
      <c r="T336" s="0" t="n">
        <f aca="false">IF(E336=2023,1,0)</f>
        <v>0</v>
      </c>
      <c r="U336" s="0" t="n">
        <f aca="false">IF(E336=2024,1,0)</f>
        <v>1</v>
      </c>
    </row>
    <row r="337" customFormat="false" ht="15" hidden="false" customHeight="false" outlineLevel="0" collapsed="false">
      <c r="A337" s="1" t="s">
        <v>13</v>
      </c>
      <c r="B337" s="0" t="n">
        <v>1</v>
      </c>
      <c r="C337" s="0" t="n">
        <v>80</v>
      </c>
      <c r="D337" s="0" t="n">
        <v>2005</v>
      </c>
      <c r="E337" s="0" t="n">
        <v>2023</v>
      </c>
      <c r="F337" s="1" t="s">
        <v>19</v>
      </c>
      <c r="G337" s="0" t="n">
        <v>140000000</v>
      </c>
      <c r="H337" s="0" t="n">
        <f aca="false">LN(G337/C337)</f>
        <v>14.3751263458997</v>
      </c>
      <c r="I337" s="0" t="n">
        <f aca="false">B337</f>
        <v>1</v>
      </c>
      <c r="J337" s="0" t="n">
        <f aca="false">E337-D337</f>
        <v>18</v>
      </c>
      <c r="K337" s="0" t="n">
        <f aca="false">C337</f>
        <v>80</v>
      </c>
      <c r="L337" s="0" t="n">
        <f aca="false">IF(F337="改装済み",1,0)</f>
        <v>0</v>
      </c>
      <c r="M337" s="0" t="n">
        <f aca="false">IF(A337="池尻大橋",1,0)</f>
        <v>0</v>
      </c>
      <c r="N337" s="0" t="n">
        <f aca="false">IF(A337="三軒茶屋",1,0)</f>
        <v>0</v>
      </c>
      <c r="O337" s="0" t="n">
        <f aca="false">IF(A337="駒沢大学",1,0)</f>
        <v>0</v>
      </c>
      <c r="P337" s="0" t="n">
        <f aca="false">IF(A337="桜新町",1,0)</f>
        <v>0</v>
      </c>
      <c r="Q337" s="0" t="n">
        <f aca="false">IF(A337="二子玉川",1,0)</f>
        <v>1</v>
      </c>
      <c r="R337" s="0" t="n">
        <f aca="false">IF(E337=2021,1,0)</f>
        <v>0</v>
      </c>
      <c r="S337" s="0" t="n">
        <f aca="false">IF(E337=2022,1,0)</f>
        <v>0</v>
      </c>
      <c r="T337" s="0" t="n">
        <f aca="false">IF(E337=2023,1,0)</f>
        <v>1</v>
      </c>
      <c r="U337" s="0" t="n">
        <f aca="false">IF(E337=2024,1,0)</f>
        <v>0</v>
      </c>
    </row>
    <row r="338" customFormat="false" ht="15" hidden="false" customHeight="false" outlineLevel="0" collapsed="false">
      <c r="A338" s="1" t="s">
        <v>13</v>
      </c>
      <c r="B338" s="0" t="n">
        <v>1</v>
      </c>
      <c r="C338" s="0" t="n">
        <v>80</v>
      </c>
      <c r="D338" s="0" t="n">
        <v>2005</v>
      </c>
      <c r="E338" s="0" t="n">
        <v>2023</v>
      </c>
      <c r="F338" s="1" t="s">
        <v>18</v>
      </c>
      <c r="G338" s="0" t="n">
        <v>150000000</v>
      </c>
      <c r="H338" s="0" t="n">
        <f aca="false">LN(G338/C338)</f>
        <v>14.4441192173866</v>
      </c>
      <c r="I338" s="0" t="n">
        <f aca="false">B338</f>
        <v>1</v>
      </c>
      <c r="J338" s="0" t="n">
        <f aca="false">E338-D338</f>
        <v>18</v>
      </c>
      <c r="K338" s="0" t="n">
        <f aca="false">C338</f>
        <v>80</v>
      </c>
      <c r="L338" s="0" t="n">
        <f aca="false">IF(F338="改装済み",1,0)</f>
        <v>1</v>
      </c>
      <c r="M338" s="0" t="n">
        <f aca="false">IF(A338="池尻大橋",1,0)</f>
        <v>0</v>
      </c>
      <c r="N338" s="0" t="n">
        <f aca="false">IF(A338="三軒茶屋",1,0)</f>
        <v>0</v>
      </c>
      <c r="O338" s="0" t="n">
        <f aca="false">IF(A338="駒沢大学",1,0)</f>
        <v>0</v>
      </c>
      <c r="P338" s="0" t="n">
        <f aca="false">IF(A338="桜新町",1,0)</f>
        <v>0</v>
      </c>
      <c r="Q338" s="0" t="n">
        <f aca="false">IF(A338="二子玉川",1,0)</f>
        <v>1</v>
      </c>
      <c r="R338" s="0" t="n">
        <f aca="false">IF(E338=2021,1,0)</f>
        <v>0</v>
      </c>
      <c r="S338" s="0" t="n">
        <f aca="false">IF(E338=2022,1,0)</f>
        <v>0</v>
      </c>
      <c r="T338" s="0" t="n">
        <f aca="false">IF(E338=2023,1,0)</f>
        <v>1</v>
      </c>
      <c r="U338" s="0" t="n">
        <f aca="false">IF(E338=2024,1,0)</f>
        <v>0</v>
      </c>
    </row>
    <row r="339" customFormat="false" ht="15" hidden="false" customHeight="false" outlineLevel="0" collapsed="false">
      <c r="A339" s="1" t="s">
        <v>13</v>
      </c>
      <c r="B339" s="0" t="n">
        <v>6</v>
      </c>
      <c r="C339" s="0" t="n">
        <v>80</v>
      </c>
      <c r="D339" s="0" t="n">
        <v>2010</v>
      </c>
      <c r="E339" s="0" t="n">
        <v>2023</v>
      </c>
      <c r="F339" s="1" t="s">
        <v>19</v>
      </c>
      <c r="G339" s="0" t="n">
        <v>150000000</v>
      </c>
      <c r="H339" s="0" t="n">
        <f aca="false">LN(G339/C339)</f>
        <v>14.4441192173866</v>
      </c>
      <c r="I339" s="0" t="n">
        <f aca="false">B339</f>
        <v>6</v>
      </c>
      <c r="J339" s="0" t="n">
        <f aca="false">E339-D339</f>
        <v>13</v>
      </c>
      <c r="K339" s="0" t="n">
        <f aca="false">C339</f>
        <v>80</v>
      </c>
      <c r="L339" s="0" t="n">
        <f aca="false">IF(F339="改装済み",1,0)</f>
        <v>0</v>
      </c>
      <c r="M339" s="0" t="n">
        <f aca="false">IF(A339="池尻大橋",1,0)</f>
        <v>0</v>
      </c>
      <c r="N339" s="0" t="n">
        <f aca="false">IF(A339="三軒茶屋",1,0)</f>
        <v>0</v>
      </c>
      <c r="O339" s="0" t="n">
        <f aca="false">IF(A339="駒沢大学",1,0)</f>
        <v>0</v>
      </c>
      <c r="P339" s="0" t="n">
        <f aca="false">IF(A339="桜新町",1,0)</f>
        <v>0</v>
      </c>
      <c r="Q339" s="0" t="n">
        <f aca="false">IF(A339="二子玉川",1,0)</f>
        <v>1</v>
      </c>
      <c r="R339" s="0" t="n">
        <f aca="false">IF(E339=2021,1,0)</f>
        <v>0</v>
      </c>
      <c r="S339" s="0" t="n">
        <f aca="false">IF(E339=2022,1,0)</f>
        <v>0</v>
      </c>
      <c r="T339" s="0" t="n">
        <f aca="false">IF(E339=2023,1,0)</f>
        <v>1</v>
      </c>
      <c r="U339" s="0" t="n">
        <f aca="false">IF(E339=2024,1,0)</f>
        <v>0</v>
      </c>
    </row>
    <row r="340" customFormat="false" ht="15" hidden="false" customHeight="false" outlineLevel="0" collapsed="false">
      <c r="A340" s="1" t="s">
        <v>13</v>
      </c>
      <c r="B340" s="0" t="n">
        <v>8</v>
      </c>
      <c r="C340" s="0" t="n">
        <v>100</v>
      </c>
      <c r="D340" s="0" t="n">
        <v>2010</v>
      </c>
      <c r="E340" s="0" t="n">
        <v>2023</v>
      </c>
      <c r="F340" s="1" t="s">
        <v>18</v>
      </c>
      <c r="G340" s="0" t="n">
        <v>240000000</v>
      </c>
      <c r="H340" s="0" t="n">
        <f aca="false">LN(G340/C340)</f>
        <v>14.6909792953182</v>
      </c>
      <c r="I340" s="0" t="n">
        <f aca="false">B340</f>
        <v>8</v>
      </c>
      <c r="J340" s="0" t="n">
        <f aca="false">E340-D340</f>
        <v>13</v>
      </c>
      <c r="K340" s="0" t="n">
        <f aca="false">C340</f>
        <v>100</v>
      </c>
      <c r="L340" s="0" t="n">
        <f aca="false">IF(F340="改装済み",1,0)</f>
        <v>1</v>
      </c>
      <c r="M340" s="0" t="n">
        <f aca="false">IF(A340="池尻大橋",1,0)</f>
        <v>0</v>
      </c>
      <c r="N340" s="0" t="n">
        <f aca="false">IF(A340="三軒茶屋",1,0)</f>
        <v>0</v>
      </c>
      <c r="O340" s="0" t="n">
        <f aca="false">IF(A340="駒沢大学",1,0)</f>
        <v>0</v>
      </c>
      <c r="P340" s="0" t="n">
        <f aca="false">IF(A340="桜新町",1,0)</f>
        <v>0</v>
      </c>
      <c r="Q340" s="0" t="n">
        <f aca="false">IF(A340="二子玉川",1,0)</f>
        <v>1</v>
      </c>
      <c r="R340" s="0" t="n">
        <f aca="false">IF(E340=2021,1,0)</f>
        <v>0</v>
      </c>
      <c r="S340" s="0" t="n">
        <f aca="false">IF(E340=2022,1,0)</f>
        <v>0</v>
      </c>
      <c r="T340" s="0" t="n">
        <f aca="false">IF(E340=2023,1,0)</f>
        <v>1</v>
      </c>
      <c r="U340" s="0" t="n">
        <f aca="false">IF(E340=2024,1,0)</f>
        <v>0</v>
      </c>
    </row>
    <row r="341" customFormat="false" ht="15" hidden="false" customHeight="false" outlineLevel="0" collapsed="false">
      <c r="A341" s="1" t="s">
        <v>13</v>
      </c>
      <c r="B341" s="0" t="n">
        <v>14</v>
      </c>
      <c r="C341" s="0" t="n">
        <v>60</v>
      </c>
      <c r="D341" s="0" t="n">
        <v>1999</v>
      </c>
      <c r="E341" s="0" t="n">
        <v>2023</v>
      </c>
      <c r="F341" s="1" t="s">
        <v>19</v>
      </c>
      <c r="G341" s="0" t="n">
        <v>60000000</v>
      </c>
      <c r="H341" s="0" t="n">
        <f aca="false">LN(G341/C341)</f>
        <v>13.8155105579643</v>
      </c>
      <c r="I341" s="0" t="n">
        <f aca="false">B341</f>
        <v>14</v>
      </c>
      <c r="J341" s="0" t="n">
        <f aca="false">E341-D341</f>
        <v>24</v>
      </c>
      <c r="K341" s="0" t="n">
        <f aca="false">C341</f>
        <v>60</v>
      </c>
      <c r="L341" s="0" t="n">
        <f aca="false">IF(F341="改装済み",1,0)</f>
        <v>0</v>
      </c>
      <c r="M341" s="0" t="n">
        <f aca="false">IF(A341="池尻大橋",1,0)</f>
        <v>0</v>
      </c>
      <c r="N341" s="0" t="n">
        <f aca="false">IF(A341="三軒茶屋",1,0)</f>
        <v>0</v>
      </c>
      <c r="O341" s="0" t="n">
        <f aca="false">IF(A341="駒沢大学",1,0)</f>
        <v>0</v>
      </c>
      <c r="P341" s="0" t="n">
        <f aca="false">IF(A341="桜新町",1,0)</f>
        <v>0</v>
      </c>
      <c r="Q341" s="0" t="n">
        <f aca="false">IF(A341="二子玉川",1,0)</f>
        <v>1</v>
      </c>
      <c r="R341" s="0" t="n">
        <f aca="false">IF(E341=2021,1,0)</f>
        <v>0</v>
      </c>
      <c r="S341" s="0" t="n">
        <f aca="false">IF(E341=2022,1,0)</f>
        <v>0</v>
      </c>
      <c r="T341" s="0" t="n">
        <f aca="false">IF(E341=2023,1,0)</f>
        <v>1</v>
      </c>
      <c r="U341" s="0" t="n">
        <f aca="false">IF(E341=2024,1,0)</f>
        <v>0</v>
      </c>
    </row>
    <row r="342" customFormat="false" ht="15" hidden="false" customHeight="false" outlineLevel="0" collapsed="false">
      <c r="A342" s="1" t="s">
        <v>13</v>
      </c>
      <c r="B342" s="0" t="n">
        <v>3</v>
      </c>
      <c r="C342" s="0" t="n">
        <v>90</v>
      </c>
      <c r="D342" s="0" t="n">
        <v>2008</v>
      </c>
      <c r="E342" s="0" t="n">
        <v>2023</v>
      </c>
      <c r="F342" s="1" t="s">
        <v>19</v>
      </c>
      <c r="G342" s="0" t="n">
        <v>130000000</v>
      </c>
      <c r="H342" s="0" t="n">
        <f aca="false">LN(G342/C342)</f>
        <v>14.1832353380896</v>
      </c>
      <c r="I342" s="0" t="n">
        <f aca="false">B342</f>
        <v>3</v>
      </c>
      <c r="J342" s="0" t="n">
        <f aca="false">E342-D342</f>
        <v>15</v>
      </c>
      <c r="K342" s="0" t="n">
        <f aca="false">C342</f>
        <v>90</v>
      </c>
      <c r="L342" s="0" t="n">
        <f aca="false">IF(F342="改装済み",1,0)</f>
        <v>0</v>
      </c>
      <c r="M342" s="0" t="n">
        <f aca="false">IF(A342="池尻大橋",1,0)</f>
        <v>0</v>
      </c>
      <c r="N342" s="0" t="n">
        <f aca="false">IF(A342="三軒茶屋",1,0)</f>
        <v>0</v>
      </c>
      <c r="O342" s="0" t="n">
        <f aca="false">IF(A342="駒沢大学",1,0)</f>
        <v>0</v>
      </c>
      <c r="P342" s="0" t="n">
        <f aca="false">IF(A342="桜新町",1,0)</f>
        <v>0</v>
      </c>
      <c r="Q342" s="0" t="n">
        <f aca="false">IF(A342="二子玉川",1,0)</f>
        <v>1</v>
      </c>
      <c r="R342" s="0" t="n">
        <f aca="false">IF(E342=2021,1,0)</f>
        <v>0</v>
      </c>
      <c r="S342" s="0" t="n">
        <f aca="false">IF(E342=2022,1,0)</f>
        <v>0</v>
      </c>
      <c r="T342" s="0" t="n">
        <f aca="false">IF(E342=2023,1,0)</f>
        <v>1</v>
      </c>
      <c r="U342" s="0" t="n">
        <f aca="false">IF(E342=2024,1,0)</f>
        <v>0</v>
      </c>
    </row>
    <row r="343" customFormat="false" ht="15" hidden="false" customHeight="false" outlineLevel="0" collapsed="false">
      <c r="A343" s="1" t="s">
        <v>13</v>
      </c>
      <c r="B343" s="0" t="n">
        <v>8</v>
      </c>
      <c r="C343" s="0" t="n">
        <v>210</v>
      </c>
      <c r="D343" s="0" t="n">
        <v>2010</v>
      </c>
      <c r="E343" s="0" t="n">
        <v>2023</v>
      </c>
      <c r="F343" s="1" t="s">
        <v>18</v>
      </c>
      <c r="G343" s="0" t="n">
        <v>570000000</v>
      </c>
      <c r="H343" s="0" t="n">
        <f aca="false">LN(G343/C343)</f>
        <v>14.8140393880754</v>
      </c>
      <c r="I343" s="0" t="n">
        <f aca="false">B343</f>
        <v>8</v>
      </c>
      <c r="J343" s="0" t="n">
        <f aca="false">E343-D343</f>
        <v>13</v>
      </c>
      <c r="K343" s="0" t="n">
        <f aca="false">C343</f>
        <v>210</v>
      </c>
      <c r="L343" s="0" t="n">
        <f aca="false">IF(F343="改装済み",1,0)</f>
        <v>1</v>
      </c>
      <c r="M343" s="0" t="n">
        <f aca="false">IF(A343="池尻大橋",1,0)</f>
        <v>0</v>
      </c>
      <c r="N343" s="0" t="n">
        <f aca="false">IF(A343="三軒茶屋",1,0)</f>
        <v>0</v>
      </c>
      <c r="O343" s="0" t="n">
        <f aca="false">IF(A343="駒沢大学",1,0)</f>
        <v>0</v>
      </c>
      <c r="P343" s="0" t="n">
        <f aca="false">IF(A343="桜新町",1,0)</f>
        <v>0</v>
      </c>
      <c r="Q343" s="0" t="n">
        <f aca="false">IF(A343="二子玉川",1,0)</f>
        <v>1</v>
      </c>
      <c r="R343" s="0" t="n">
        <f aca="false">IF(E343=2021,1,0)</f>
        <v>0</v>
      </c>
      <c r="S343" s="0" t="n">
        <f aca="false">IF(E343=2022,1,0)</f>
        <v>0</v>
      </c>
      <c r="T343" s="0" t="n">
        <f aca="false">IF(E343=2023,1,0)</f>
        <v>1</v>
      </c>
      <c r="U343" s="0" t="n">
        <f aca="false">IF(E343=2024,1,0)</f>
        <v>0</v>
      </c>
    </row>
    <row r="344" customFormat="false" ht="15" hidden="false" customHeight="false" outlineLevel="0" collapsed="false">
      <c r="A344" s="1" t="s">
        <v>13</v>
      </c>
      <c r="B344" s="0" t="n">
        <v>4</v>
      </c>
      <c r="C344" s="0" t="n">
        <v>55</v>
      </c>
      <c r="D344" s="0" t="n">
        <v>2011</v>
      </c>
      <c r="E344" s="0" t="n">
        <v>2023</v>
      </c>
      <c r="F344" s="1" t="s">
        <v>19</v>
      </c>
      <c r="G344" s="0" t="n">
        <v>85000000</v>
      </c>
      <c r="H344" s="0" t="n">
        <f aca="false">LN(G344/C344)</f>
        <v>14.2508286292221</v>
      </c>
      <c r="I344" s="0" t="n">
        <f aca="false">B344</f>
        <v>4</v>
      </c>
      <c r="J344" s="0" t="n">
        <f aca="false">E344-D344</f>
        <v>12</v>
      </c>
      <c r="K344" s="0" t="n">
        <f aca="false">C344</f>
        <v>55</v>
      </c>
      <c r="L344" s="0" t="n">
        <f aca="false">IF(F344="改装済み",1,0)</f>
        <v>0</v>
      </c>
      <c r="M344" s="0" t="n">
        <f aca="false">IF(A344="池尻大橋",1,0)</f>
        <v>0</v>
      </c>
      <c r="N344" s="0" t="n">
        <f aca="false">IF(A344="三軒茶屋",1,0)</f>
        <v>0</v>
      </c>
      <c r="O344" s="0" t="n">
        <f aca="false">IF(A344="駒沢大学",1,0)</f>
        <v>0</v>
      </c>
      <c r="P344" s="0" t="n">
        <f aca="false">IF(A344="桜新町",1,0)</f>
        <v>0</v>
      </c>
      <c r="Q344" s="0" t="n">
        <f aca="false">IF(A344="二子玉川",1,0)</f>
        <v>1</v>
      </c>
      <c r="R344" s="0" t="n">
        <f aca="false">IF(E344=2021,1,0)</f>
        <v>0</v>
      </c>
      <c r="S344" s="0" t="n">
        <f aca="false">IF(E344=2022,1,0)</f>
        <v>0</v>
      </c>
      <c r="T344" s="0" t="n">
        <f aca="false">IF(E344=2023,1,0)</f>
        <v>1</v>
      </c>
      <c r="U344" s="0" t="n">
        <f aca="false">IF(E344=2024,1,0)</f>
        <v>0</v>
      </c>
    </row>
    <row r="345" customFormat="false" ht="15" hidden="false" customHeight="false" outlineLevel="0" collapsed="false">
      <c r="A345" s="1" t="s">
        <v>13</v>
      </c>
      <c r="B345" s="0" t="n">
        <v>11</v>
      </c>
      <c r="C345" s="0" t="n">
        <v>55</v>
      </c>
      <c r="D345" s="0" t="n">
        <v>1991</v>
      </c>
      <c r="E345" s="0" t="n">
        <v>2023</v>
      </c>
      <c r="F345" s="1" t="s">
        <v>19</v>
      </c>
      <c r="G345" s="0" t="n">
        <v>65000000</v>
      </c>
      <c r="H345" s="0" t="n">
        <f aca="false">LN(G345/C345)</f>
        <v>13.9825646426274</v>
      </c>
      <c r="I345" s="0" t="n">
        <f aca="false">B345</f>
        <v>11</v>
      </c>
      <c r="J345" s="0" t="n">
        <f aca="false">E345-D345</f>
        <v>32</v>
      </c>
      <c r="K345" s="0" t="n">
        <f aca="false">C345</f>
        <v>55</v>
      </c>
      <c r="L345" s="0" t="n">
        <f aca="false">IF(F345="改装済み",1,0)</f>
        <v>0</v>
      </c>
      <c r="M345" s="0" t="n">
        <f aca="false">IF(A345="池尻大橋",1,0)</f>
        <v>0</v>
      </c>
      <c r="N345" s="0" t="n">
        <f aca="false">IF(A345="三軒茶屋",1,0)</f>
        <v>0</v>
      </c>
      <c r="O345" s="0" t="n">
        <f aca="false">IF(A345="駒沢大学",1,0)</f>
        <v>0</v>
      </c>
      <c r="P345" s="0" t="n">
        <f aca="false">IF(A345="桜新町",1,0)</f>
        <v>0</v>
      </c>
      <c r="Q345" s="0" t="n">
        <f aca="false">IF(A345="二子玉川",1,0)</f>
        <v>1</v>
      </c>
      <c r="R345" s="0" t="n">
        <f aca="false">IF(E345=2021,1,0)</f>
        <v>0</v>
      </c>
      <c r="S345" s="0" t="n">
        <f aca="false">IF(E345=2022,1,0)</f>
        <v>0</v>
      </c>
      <c r="T345" s="0" t="n">
        <f aca="false">IF(E345=2023,1,0)</f>
        <v>1</v>
      </c>
      <c r="U345" s="0" t="n">
        <f aca="false">IF(E345=2024,1,0)</f>
        <v>0</v>
      </c>
    </row>
    <row r="346" customFormat="false" ht="15" hidden="false" customHeight="false" outlineLevel="0" collapsed="false">
      <c r="A346" s="1" t="s">
        <v>13</v>
      </c>
      <c r="B346" s="0" t="n">
        <v>5</v>
      </c>
      <c r="C346" s="0" t="n">
        <v>70</v>
      </c>
      <c r="D346" s="0" t="n">
        <v>1996</v>
      </c>
      <c r="E346" s="0" t="n">
        <v>2023</v>
      </c>
      <c r="F346" s="1" t="s">
        <v>18</v>
      </c>
      <c r="G346" s="0" t="n">
        <v>90000000</v>
      </c>
      <c r="H346" s="0" t="n">
        <f aca="false">LN(G346/C346)</f>
        <v>14.0668249862452</v>
      </c>
      <c r="I346" s="0" t="n">
        <f aca="false">B346</f>
        <v>5</v>
      </c>
      <c r="J346" s="0" t="n">
        <f aca="false">E346-D346</f>
        <v>27</v>
      </c>
      <c r="K346" s="0" t="n">
        <f aca="false">C346</f>
        <v>70</v>
      </c>
      <c r="L346" s="0" t="n">
        <f aca="false">IF(F346="改装済み",1,0)</f>
        <v>1</v>
      </c>
      <c r="M346" s="0" t="n">
        <f aca="false">IF(A346="池尻大橋",1,0)</f>
        <v>0</v>
      </c>
      <c r="N346" s="0" t="n">
        <f aca="false">IF(A346="三軒茶屋",1,0)</f>
        <v>0</v>
      </c>
      <c r="O346" s="0" t="n">
        <f aca="false">IF(A346="駒沢大学",1,0)</f>
        <v>0</v>
      </c>
      <c r="P346" s="0" t="n">
        <f aca="false">IF(A346="桜新町",1,0)</f>
        <v>0</v>
      </c>
      <c r="Q346" s="0" t="n">
        <f aca="false">IF(A346="二子玉川",1,0)</f>
        <v>1</v>
      </c>
      <c r="R346" s="0" t="n">
        <f aca="false">IF(E346=2021,1,0)</f>
        <v>0</v>
      </c>
      <c r="S346" s="0" t="n">
        <f aca="false">IF(E346=2022,1,0)</f>
        <v>0</v>
      </c>
      <c r="T346" s="0" t="n">
        <f aca="false">IF(E346=2023,1,0)</f>
        <v>1</v>
      </c>
      <c r="U346" s="0" t="n">
        <f aca="false">IF(E346=2024,1,0)</f>
        <v>0</v>
      </c>
    </row>
    <row r="347" customFormat="false" ht="15" hidden="false" customHeight="false" outlineLevel="0" collapsed="false">
      <c r="A347" s="1" t="s">
        <v>13</v>
      </c>
      <c r="B347" s="0" t="n">
        <v>5</v>
      </c>
      <c r="C347" s="0" t="n">
        <v>50</v>
      </c>
      <c r="D347" s="0" t="n">
        <v>1995</v>
      </c>
      <c r="E347" s="0" t="n">
        <v>2023</v>
      </c>
      <c r="F347" s="1" t="s">
        <v>18</v>
      </c>
      <c r="G347" s="0" t="n">
        <v>40000000</v>
      </c>
      <c r="H347" s="0" t="n">
        <f aca="false">LN(G347/C347)</f>
        <v>13.5923670066501</v>
      </c>
      <c r="I347" s="0" t="n">
        <f aca="false">B347</f>
        <v>5</v>
      </c>
      <c r="J347" s="0" t="n">
        <f aca="false">E347-D347</f>
        <v>28</v>
      </c>
      <c r="K347" s="0" t="n">
        <f aca="false">C347</f>
        <v>50</v>
      </c>
      <c r="L347" s="0" t="n">
        <f aca="false">IF(F347="改装済み",1,0)</f>
        <v>1</v>
      </c>
      <c r="M347" s="0" t="n">
        <f aca="false">IF(A347="池尻大橋",1,0)</f>
        <v>0</v>
      </c>
      <c r="N347" s="0" t="n">
        <f aca="false">IF(A347="三軒茶屋",1,0)</f>
        <v>0</v>
      </c>
      <c r="O347" s="0" t="n">
        <f aca="false">IF(A347="駒沢大学",1,0)</f>
        <v>0</v>
      </c>
      <c r="P347" s="0" t="n">
        <f aca="false">IF(A347="桜新町",1,0)</f>
        <v>0</v>
      </c>
      <c r="Q347" s="0" t="n">
        <f aca="false">IF(A347="二子玉川",1,0)</f>
        <v>1</v>
      </c>
      <c r="R347" s="0" t="n">
        <f aca="false">IF(E347=2021,1,0)</f>
        <v>0</v>
      </c>
      <c r="S347" s="0" t="n">
        <f aca="false">IF(E347=2022,1,0)</f>
        <v>0</v>
      </c>
      <c r="T347" s="0" t="n">
        <f aca="false">IF(E347=2023,1,0)</f>
        <v>1</v>
      </c>
      <c r="U347" s="0" t="n">
        <f aca="false">IF(E347=2024,1,0)</f>
        <v>0</v>
      </c>
    </row>
    <row r="348" customFormat="false" ht="15" hidden="false" customHeight="false" outlineLevel="0" collapsed="false">
      <c r="A348" s="1" t="s">
        <v>13</v>
      </c>
      <c r="B348" s="0" t="n">
        <v>8</v>
      </c>
      <c r="C348" s="0" t="n">
        <v>210</v>
      </c>
      <c r="D348" s="0" t="n">
        <v>2010</v>
      </c>
      <c r="E348" s="0" t="n">
        <v>2022</v>
      </c>
      <c r="F348" s="1" t="s">
        <v>19</v>
      </c>
      <c r="G348" s="0" t="n">
        <v>440000000</v>
      </c>
      <c r="H348" s="0" t="n">
        <f aca="false">LN(G348/C348)</f>
        <v>14.5551777541591</v>
      </c>
      <c r="I348" s="0" t="n">
        <f aca="false">B348</f>
        <v>8</v>
      </c>
      <c r="J348" s="0" t="n">
        <f aca="false">E348-D348</f>
        <v>12</v>
      </c>
      <c r="K348" s="0" t="n">
        <f aca="false">C348</f>
        <v>210</v>
      </c>
      <c r="L348" s="0" t="n">
        <f aca="false">IF(F348="改装済み",1,0)</f>
        <v>0</v>
      </c>
      <c r="M348" s="0" t="n">
        <f aca="false">IF(A348="池尻大橋",1,0)</f>
        <v>0</v>
      </c>
      <c r="N348" s="0" t="n">
        <f aca="false">IF(A348="三軒茶屋",1,0)</f>
        <v>0</v>
      </c>
      <c r="O348" s="0" t="n">
        <f aca="false">IF(A348="駒沢大学",1,0)</f>
        <v>0</v>
      </c>
      <c r="P348" s="0" t="n">
        <f aca="false">IF(A348="桜新町",1,0)</f>
        <v>0</v>
      </c>
      <c r="Q348" s="0" t="n">
        <f aca="false">IF(A348="二子玉川",1,0)</f>
        <v>1</v>
      </c>
      <c r="R348" s="0" t="n">
        <f aca="false">IF(E348=2021,1,0)</f>
        <v>0</v>
      </c>
      <c r="S348" s="0" t="n">
        <f aca="false">IF(E348=2022,1,0)</f>
        <v>1</v>
      </c>
      <c r="T348" s="0" t="n">
        <f aca="false">IF(E348=2023,1,0)</f>
        <v>0</v>
      </c>
      <c r="U348" s="0" t="n">
        <f aca="false">IF(E348=2024,1,0)</f>
        <v>0</v>
      </c>
    </row>
    <row r="349" customFormat="false" ht="15" hidden="false" customHeight="false" outlineLevel="0" collapsed="false">
      <c r="A349" s="1" t="s">
        <v>13</v>
      </c>
      <c r="B349" s="0" t="n">
        <v>8</v>
      </c>
      <c r="C349" s="0" t="n">
        <v>80</v>
      </c>
      <c r="D349" s="0" t="n">
        <v>2010</v>
      </c>
      <c r="E349" s="0" t="n">
        <v>2022</v>
      </c>
      <c r="F349" s="1" t="s">
        <v>19</v>
      </c>
      <c r="G349" s="0" t="n">
        <v>140000000</v>
      </c>
      <c r="H349" s="0" t="n">
        <f aca="false">LN(G349/C349)</f>
        <v>14.3751263458997</v>
      </c>
      <c r="I349" s="0" t="n">
        <f aca="false">B349</f>
        <v>8</v>
      </c>
      <c r="J349" s="0" t="n">
        <f aca="false">E349-D349</f>
        <v>12</v>
      </c>
      <c r="K349" s="0" t="n">
        <f aca="false">C349</f>
        <v>80</v>
      </c>
      <c r="L349" s="0" t="n">
        <f aca="false">IF(F349="改装済み",1,0)</f>
        <v>0</v>
      </c>
      <c r="M349" s="0" t="n">
        <f aca="false">IF(A349="池尻大橋",1,0)</f>
        <v>0</v>
      </c>
      <c r="N349" s="0" t="n">
        <f aca="false">IF(A349="三軒茶屋",1,0)</f>
        <v>0</v>
      </c>
      <c r="O349" s="0" t="n">
        <f aca="false">IF(A349="駒沢大学",1,0)</f>
        <v>0</v>
      </c>
      <c r="P349" s="0" t="n">
        <f aca="false">IF(A349="桜新町",1,0)</f>
        <v>0</v>
      </c>
      <c r="Q349" s="0" t="n">
        <f aca="false">IF(A349="二子玉川",1,0)</f>
        <v>1</v>
      </c>
      <c r="R349" s="0" t="n">
        <f aca="false">IF(E349=2021,1,0)</f>
        <v>0</v>
      </c>
      <c r="S349" s="0" t="n">
        <f aca="false">IF(E349=2022,1,0)</f>
        <v>1</v>
      </c>
      <c r="T349" s="0" t="n">
        <f aca="false">IF(E349=2023,1,0)</f>
        <v>0</v>
      </c>
      <c r="U349" s="0" t="n">
        <f aca="false">IF(E349=2024,1,0)</f>
        <v>0</v>
      </c>
    </row>
    <row r="350" customFormat="false" ht="15" hidden="false" customHeight="false" outlineLevel="0" collapsed="false">
      <c r="A350" s="1" t="s">
        <v>13</v>
      </c>
      <c r="B350" s="0" t="n">
        <v>3</v>
      </c>
      <c r="C350" s="0" t="n">
        <v>70</v>
      </c>
      <c r="D350" s="0" t="n">
        <v>2011</v>
      </c>
      <c r="E350" s="0" t="n">
        <v>2022</v>
      </c>
      <c r="F350" s="1" t="s">
        <v>19</v>
      </c>
      <c r="G350" s="0" t="n">
        <v>130000000</v>
      </c>
      <c r="H350" s="0" t="n">
        <f aca="false">LN(G350/C350)</f>
        <v>14.4345497663705</v>
      </c>
      <c r="I350" s="0" t="n">
        <f aca="false">B350</f>
        <v>3</v>
      </c>
      <c r="J350" s="0" t="n">
        <f aca="false">E350-D350</f>
        <v>11</v>
      </c>
      <c r="K350" s="0" t="n">
        <f aca="false">C350</f>
        <v>70</v>
      </c>
      <c r="L350" s="0" t="n">
        <f aca="false">IF(F350="改装済み",1,0)</f>
        <v>0</v>
      </c>
      <c r="M350" s="0" t="n">
        <f aca="false">IF(A350="池尻大橋",1,0)</f>
        <v>0</v>
      </c>
      <c r="N350" s="0" t="n">
        <f aca="false">IF(A350="三軒茶屋",1,0)</f>
        <v>0</v>
      </c>
      <c r="O350" s="0" t="n">
        <f aca="false">IF(A350="駒沢大学",1,0)</f>
        <v>0</v>
      </c>
      <c r="P350" s="0" t="n">
        <f aca="false">IF(A350="桜新町",1,0)</f>
        <v>0</v>
      </c>
      <c r="Q350" s="0" t="n">
        <f aca="false">IF(A350="二子玉川",1,0)</f>
        <v>1</v>
      </c>
      <c r="R350" s="0" t="n">
        <f aca="false">IF(E350=2021,1,0)</f>
        <v>0</v>
      </c>
      <c r="S350" s="0" t="n">
        <f aca="false">IF(E350=2022,1,0)</f>
        <v>1</v>
      </c>
      <c r="T350" s="0" t="n">
        <f aca="false">IF(E350=2023,1,0)</f>
        <v>0</v>
      </c>
      <c r="U350" s="0" t="n">
        <f aca="false">IF(E350=2024,1,0)</f>
        <v>0</v>
      </c>
    </row>
    <row r="351" customFormat="false" ht="15" hidden="false" customHeight="false" outlineLevel="0" collapsed="false">
      <c r="A351" s="1" t="s">
        <v>13</v>
      </c>
      <c r="B351" s="0" t="n">
        <v>6</v>
      </c>
      <c r="C351" s="0" t="n">
        <v>65</v>
      </c>
      <c r="D351" s="0" t="n">
        <v>2015</v>
      </c>
      <c r="E351" s="0" t="n">
        <v>2022</v>
      </c>
      <c r="F351" s="1" t="s">
        <v>18</v>
      </c>
      <c r="G351" s="0" t="n">
        <v>100000000</v>
      </c>
      <c r="H351" s="0" t="n">
        <f aca="false">LN(G351/C351)</f>
        <v>14.2462934740567</v>
      </c>
      <c r="I351" s="0" t="n">
        <f aca="false">B351</f>
        <v>6</v>
      </c>
      <c r="J351" s="0" t="n">
        <f aca="false">E351-D351</f>
        <v>7</v>
      </c>
      <c r="K351" s="0" t="n">
        <f aca="false">C351</f>
        <v>65</v>
      </c>
      <c r="L351" s="0" t="n">
        <f aca="false">IF(F351="改装済み",1,0)</f>
        <v>1</v>
      </c>
      <c r="M351" s="0" t="n">
        <f aca="false">IF(A351="池尻大橋",1,0)</f>
        <v>0</v>
      </c>
      <c r="N351" s="0" t="n">
        <f aca="false">IF(A351="三軒茶屋",1,0)</f>
        <v>0</v>
      </c>
      <c r="O351" s="0" t="n">
        <f aca="false">IF(A351="駒沢大学",1,0)</f>
        <v>0</v>
      </c>
      <c r="P351" s="0" t="n">
        <f aca="false">IF(A351="桜新町",1,0)</f>
        <v>0</v>
      </c>
      <c r="Q351" s="0" t="n">
        <f aca="false">IF(A351="二子玉川",1,0)</f>
        <v>1</v>
      </c>
      <c r="R351" s="0" t="n">
        <f aca="false">IF(E351=2021,1,0)</f>
        <v>0</v>
      </c>
      <c r="S351" s="0" t="n">
        <f aca="false">IF(E351=2022,1,0)</f>
        <v>1</v>
      </c>
      <c r="T351" s="0" t="n">
        <f aca="false">IF(E351=2023,1,0)</f>
        <v>0</v>
      </c>
      <c r="U351" s="0" t="n">
        <f aca="false">IF(E351=2024,1,0)</f>
        <v>0</v>
      </c>
    </row>
    <row r="352" customFormat="false" ht="15" hidden="false" customHeight="false" outlineLevel="0" collapsed="false">
      <c r="A352" s="1" t="s">
        <v>13</v>
      </c>
      <c r="B352" s="0" t="n">
        <v>6</v>
      </c>
      <c r="C352" s="0" t="n">
        <v>115</v>
      </c>
      <c r="D352" s="0" t="n">
        <v>2019</v>
      </c>
      <c r="E352" s="0" t="n">
        <v>2022</v>
      </c>
      <c r="F352" s="1" t="s">
        <v>19</v>
      </c>
      <c r="G352" s="0" t="n">
        <v>150000000</v>
      </c>
      <c r="H352" s="0" t="n">
        <f aca="false">LN(G352/C352)</f>
        <v>14.0812137236973</v>
      </c>
      <c r="I352" s="0" t="n">
        <f aca="false">B352</f>
        <v>6</v>
      </c>
      <c r="J352" s="0" t="n">
        <f aca="false">E352-D352</f>
        <v>3</v>
      </c>
      <c r="K352" s="0" t="n">
        <f aca="false">C352</f>
        <v>115</v>
      </c>
      <c r="L352" s="0" t="n">
        <f aca="false">IF(F352="改装済み",1,0)</f>
        <v>0</v>
      </c>
      <c r="M352" s="0" t="n">
        <f aca="false">IF(A352="池尻大橋",1,0)</f>
        <v>0</v>
      </c>
      <c r="N352" s="0" t="n">
        <f aca="false">IF(A352="三軒茶屋",1,0)</f>
        <v>0</v>
      </c>
      <c r="O352" s="0" t="n">
        <f aca="false">IF(A352="駒沢大学",1,0)</f>
        <v>0</v>
      </c>
      <c r="P352" s="0" t="n">
        <f aca="false">IF(A352="桜新町",1,0)</f>
        <v>0</v>
      </c>
      <c r="Q352" s="0" t="n">
        <f aca="false">IF(A352="二子玉川",1,0)</f>
        <v>1</v>
      </c>
      <c r="R352" s="0" t="n">
        <f aca="false">IF(E352=2021,1,0)</f>
        <v>0</v>
      </c>
      <c r="S352" s="0" t="n">
        <f aca="false">IF(E352=2022,1,0)</f>
        <v>1</v>
      </c>
      <c r="T352" s="0" t="n">
        <f aca="false">IF(E352=2023,1,0)</f>
        <v>0</v>
      </c>
      <c r="U352" s="0" t="n">
        <f aca="false">IF(E352=2024,1,0)</f>
        <v>0</v>
      </c>
    </row>
    <row r="353" customFormat="false" ht="15" hidden="false" customHeight="false" outlineLevel="0" collapsed="false">
      <c r="A353" s="1" t="s">
        <v>13</v>
      </c>
      <c r="B353" s="0" t="n">
        <v>3</v>
      </c>
      <c r="C353" s="0" t="n">
        <v>65</v>
      </c>
      <c r="D353" s="0" t="n">
        <v>1979</v>
      </c>
      <c r="E353" s="0" t="n">
        <v>2022</v>
      </c>
      <c r="F353" s="1" t="s">
        <v>19</v>
      </c>
      <c r="G353" s="0" t="n">
        <v>60000000</v>
      </c>
      <c r="H353" s="0" t="n">
        <f aca="false">LN(G353/C353)</f>
        <v>13.7354678502907</v>
      </c>
      <c r="I353" s="0" t="n">
        <f aca="false">B353</f>
        <v>3</v>
      </c>
      <c r="J353" s="0" t="n">
        <f aca="false">E353-D353</f>
        <v>43</v>
      </c>
      <c r="K353" s="0" t="n">
        <f aca="false">C353</f>
        <v>65</v>
      </c>
      <c r="L353" s="0" t="n">
        <f aca="false">IF(F353="改装済み",1,0)</f>
        <v>0</v>
      </c>
      <c r="M353" s="0" t="n">
        <f aca="false">IF(A353="池尻大橋",1,0)</f>
        <v>0</v>
      </c>
      <c r="N353" s="0" t="n">
        <f aca="false">IF(A353="三軒茶屋",1,0)</f>
        <v>0</v>
      </c>
      <c r="O353" s="0" t="n">
        <f aca="false">IF(A353="駒沢大学",1,0)</f>
        <v>0</v>
      </c>
      <c r="P353" s="0" t="n">
        <f aca="false">IF(A353="桜新町",1,0)</f>
        <v>0</v>
      </c>
      <c r="Q353" s="0" t="n">
        <f aca="false">IF(A353="二子玉川",1,0)</f>
        <v>1</v>
      </c>
      <c r="R353" s="0" t="n">
        <f aca="false">IF(E353=2021,1,0)</f>
        <v>0</v>
      </c>
      <c r="S353" s="0" t="n">
        <f aca="false">IF(E353=2022,1,0)</f>
        <v>1</v>
      </c>
      <c r="T353" s="0" t="n">
        <f aca="false">IF(E353=2023,1,0)</f>
        <v>0</v>
      </c>
      <c r="U353" s="0" t="n">
        <f aca="false">IF(E353=2024,1,0)</f>
        <v>0</v>
      </c>
    </row>
    <row r="354" customFormat="false" ht="15" hidden="false" customHeight="false" outlineLevel="0" collapsed="false">
      <c r="A354" s="1" t="s">
        <v>13</v>
      </c>
      <c r="B354" s="0" t="n">
        <v>8</v>
      </c>
      <c r="C354" s="0" t="n">
        <v>85</v>
      </c>
      <c r="D354" s="0" t="n">
        <v>2010</v>
      </c>
      <c r="E354" s="0" t="n">
        <v>2022</v>
      </c>
      <c r="F354" s="1" t="s">
        <v>19</v>
      </c>
      <c r="G354" s="0" t="n">
        <v>150000000</v>
      </c>
      <c r="H354" s="0" t="n">
        <f aca="false">LN(G354/C354)</f>
        <v>14.3834945955702</v>
      </c>
      <c r="I354" s="0" t="n">
        <f aca="false">B354</f>
        <v>8</v>
      </c>
      <c r="J354" s="0" t="n">
        <f aca="false">E354-D354</f>
        <v>12</v>
      </c>
      <c r="K354" s="0" t="n">
        <f aca="false">C354</f>
        <v>85</v>
      </c>
      <c r="L354" s="0" t="n">
        <f aca="false">IF(F354="改装済み",1,0)</f>
        <v>0</v>
      </c>
      <c r="M354" s="0" t="n">
        <f aca="false">IF(A354="池尻大橋",1,0)</f>
        <v>0</v>
      </c>
      <c r="N354" s="0" t="n">
        <f aca="false">IF(A354="三軒茶屋",1,0)</f>
        <v>0</v>
      </c>
      <c r="O354" s="0" t="n">
        <f aca="false">IF(A354="駒沢大学",1,0)</f>
        <v>0</v>
      </c>
      <c r="P354" s="0" t="n">
        <f aca="false">IF(A354="桜新町",1,0)</f>
        <v>0</v>
      </c>
      <c r="Q354" s="0" t="n">
        <f aca="false">IF(A354="二子玉川",1,0)</f>
        <v>1</v>
      </c>
      <c r="R354" s="0" t="n">
        <f aca="false">IF(E354=2021,1,0)</f>
        <v>0</v>
      </c>
      <c r="S354" s="0" t="n">
        <f aca="false">IF(E354=2022,1,0)</f>
        <v>1</v>
      </c>
      <c r="T354" s="0" t="n">
        <f aca="false">IF(E354=2023,1,0)</f>
        <v>0</v>
      </c>
      <c r="U354" s="0" t="n">
        <f aca="false">IF(E354=2024,1,0)</f>
        <v>0</v>
      </c>
    </row>
    <row r="355" customFormat="false" ht="15" hidden="false" customHeight="false" outlineLevel="0" collapsed="false">
      <c r="A355" s="1" t="s">
        <v>13</v>
      </c>
      <c r="B355" s="0" t="n">
        <v>8</v>
      </c>
      <c r="C355" s="0" t="n">
        <v>85</v>
      </c>
      <c r="D355" s="0" t="n">
        <v>2010</v>
      </c>
      <c r="E355" s="0" t="n">
        <v>2022</v>
      </c>
      <c r="F355" s="1" t="s">
        <v>19</v>
      </c>
      <c r="G355" s="0" t="n">
        <v>100000000</v>
      </c>
      <c r="H355" s="0" t="n">
        <f aca="false">LN(G355/C355)</f>
        <v>13.978029487462</v>
      </c>
      <c r="I355" s="0" t="n">
        <f aca="false">B355</f>
        <v>8</v>
      </c>
      <c r="J355" s="0" t="n">
        <f aca="false">E355-D355</f>
        <v>12</v>
      </c>
      <c r="K355" s="0" t="n">
        <f aca="false">C355</f>
        <v>85</v>
      </c>
      <c r="L355" s="0" t="n">
        <f aca="false">IF(F355="改装済み",1,0)</f>
        <v>0</v>
      </c>
      <c r="M355" s="0" t="n">
        <f aca="false">IF(A355="池尻大橋",1,0)</f>
        <v>0</v>
      </c>
      <c r="N355" s="0" t="n">
        <f aca="false">IF(A355="三軒茶屋",1,0)</f>
        <v>0</v>
      </c>
      <c r="O355" s="0" t="n">
        <f aca="false">IF(A355="駒沢大学",1,0)</f>
        <v>0</v>
      </c>
      <c r="P355" s="0" t="n">
        <f aca="false">IF(A355="桜新町",1,0)</f>
        <v>0</v>
      </c>
      <c r="Q355" s="0" t="n">
        <f aca="false">IF(A355="二子玉川",1,0)</f>
        <v>1</v>
      </c>
      <c r="R355" s="0" t="n">
        <f aca="false">IF(E355=2021,1,0)</f>
        <v>0</v>
      </c>
      <c r="S355" s="0" t="n">
        <f aca="false">IF(E355=2022,1,0)</f>
        <v>1</v>
      </c>
      <c r="T355" s="0" t="n">
        <f aca="false">IF(E355=2023,1,0)</f>
        <v>0</v>
      </c>
      <c r="U355" s="0" t="n">
        <f aca="false">IF(E355=2024,1,0)</f>
        <v>0</v>
      </c>
    </row>
    <row r="356" customFormat="false" ht="15" hidden="false" customHeight="false" outlineLevel="0" collapsed="false">
      <c r="A356" s="1" t="s">
        <v>13</v>
      </c>
      <c r="B356" s="0" t="n">
        <v>6</v>
      </c>
      <c r="C356" s="0" t="n">
        <v>75</v>
      </c>
      <c r="D356" s="0" t="n">
        <v>2010</v>
      </c>
      <c r="E356" s="0" t="n">
        <v>2022</v>
      </c>
      <c r="F356" s="1" t="s">
        <v>19</v>
      </c>
      <c r="G356" s="0" t="n">
        <v>120000000</v>
      </c>
      <c r="H356" s="0" t="n">
        <f aca="false">LN(G356/C356)</f>
        <v>14.28551418721</v>
      </c>
      <c r="I356" s="0" t="n">
        <f aca="false">B356</f>
        <v>6</v>
      </c>
      <c r="J356" s="0" t="n">
        <f aca="false">E356-D356</f>
        <v>12</v>
      </c>
      <c r="K356" s="0" t="n">
        <f aca="false">C356</f>
        <v>75</v>
      </c>
      <c r="L356" s="0" t="n">
        <f aca="false">IF(F356="改装済み",1,0)</f>
        <v>0</v>
      </c>
      <c r="M356" s="0" t="n">
        <f aca="false">IF(A356="池尻大橋",1,0)</f>
        <v>0</v>
      </c>
      <c r="N356" s="0" t="n">
        <f aca="false">IF(A356="三軒茶屋",1,0)</f>
        <v>0</v>
      </c>
      <c r="O356" s="0" t="n">
        <f aca="false">IF(A356="駒沢大学",1,0)</f>
        <v>0</v>
      </c>
      <c r="P356" s="0" t="n">
        <f aca="false">IF(A356="桜新町",1,0)</f>
        <v>0</v>
      </c>
      <c r="Q356" s="0" t="n">
        <f aca="false">IF(A356="二子玉川",1,0)</f>
        <v>1</v>
      </c>
      <c r="R356" s="0" t="n">
        <f aca="false">IF(E356=2021,1,0)</f>
        <v>0</v>
      </c>
      <c r="S356" s="0" t="n">
        <f aca="false">IF(E356=2022,1,0)</f>
        <v>1</v>
      </c>
      <c r="T356" s="0" t="n">
        <f aca="false">IF(E356=2023,1,0)</f>
        <v>0</v>
      </c>
      <c r="U356" s="0" t="n">
        <f aca="false">IF(E356=2024,1,0)</f>
        <v>0</v>
      </c>
    </row>
    <row r="357" customFormat="false" ht="15" hidden="false" customHeight="false" outlineLevel="0" collapsed="false">
      <c r="A357" s="1" t="s">
        <v>13</v>
      </c>
      <c r="B357" s="0" t="n">
        <v>3</v>
      </c>
      <c r="C357" s="0" t="n">
        <v>70</v>
      </c>
      <c r="D357" s="0" t="n">
        <v>1979</v>
      </c>
      <c r="E357" s="0" t="n">
        <v>2022</v>
      </c>
      <c r="F357" s="1" t="s">
        <v>19</v>
      </c>
      <c r="G357" s="0" t="n">
        <v>63000000</v>
      </c>
      <c r="H357" s="0" t="n">
        <f aca="false">LN(G357/C357)</f>
        <v>13.7101500423064</v>
      </c>
      <c r="I357" s="0" t="n">
        <f aca="false">B357</f>
        <v>3</v>
      </c>
      <c r="J357" s="0" t="n">
        <f aca="false">E357-D357</f>
        <v>43</v>
      </c>
      <c r="K357" s="0" t="n">
        <f aca="false">C357</f>
        <v>70</v>
      </c>
      <c r="L357" s="0" t="n">
        <f aca="false">IF(F357="改装済み",1,0)</f>
        <v>0</v>
      </c>
      <c r="M357" s="0" t="n">
        <f aca="false">IF(A357="池尻大橋",1,0)</f>
        <v>0</v>
      </c>
      <c r="N357" s="0" t="n">
        <f aca="false">IF(A357="三軒茶屋",1,0)</f>
        <v>0</v>
      </c>
      <c r="O357" s="0" t="n">
        <f aca="false">IF(A357="駒沢大学",1,0)</f>
        <v>0</v>
      </c>
      <c r="P357" s="0" t="n">
        <f aca="false">IF(A357="桜新町",1,0)</f>
        <v>0</v>
      </c>
      <c r="Q357" s="0" t="n">
        <f aca="false">IF(A357="二子玉川",1,0)</f>
        <v>1</v>
      </c>
      <c r="R357" s="0" t="n">
        <f aca="false">IF(E357=2021,1,0)</f>
        <v>0</v>
      </c>
      <c r="S357" s="0" t="n">
        <f aca="false">IF(E357=2022,1,0)</f>
        <v>1</v>
      </c>
      <c r="T357" s="0" t="n">
        <f aca="false">IF(E357=2023,1,0)</f>
        <v>0</v>
      </c>
      <c r="U357" s="0" t="n">
        <f aca="false">IF(E357=2024,1,0)</f>
        <v>0</v>
      </c>
    </row>
    <row r="358" customFormat="false" ht="15" hidden="false" customHeight="false" outlineLevel="0" collapsed="false">
      <c r="A358" s="1" t="s">
        <v>13</v>
      </c>
      <c r="B358" s="0" t="n">
        <v>6</v>
      </c>
      <c r="C358" s="0" t="n">
        <v>80</v>
      </c>
      <c r="D358" s="0" t="n">
        <v>2010</v>
      </c>
      <c r="E358" s="0" t="n">
        <v>2021</v>
      </c>
      <c r="F358" s="1" t="s">
        <v>18</v>
      </c>
      <c r="G358" s="0" t="n">
        <v>140000000</v>
      </c>
      <c r="H358" s="0" t="n">
        <f aca="false">LN(G358/C358)</f>
        <v>14.3751263458997</v>
      </c>
      <c r="I358" s="0" t="n">
        <f aca="false">B358</f>
        <v>6</v>
      </c>
      <c r="J358" s="0" t="n">
        <f aca="false">E358-D358</f>
        <v>11</v>
      </c>
      <c r="K358" s="0" t="n">
        <f aca="false">C358</f>
        <v>80</v>
      </c>
      <c r="L358" s="0" t="n">
        <f aca="false">IF(F358="改装済み",1,0)</f>
        <v>1</v>
      </c>
      <c r="M358" s="0" t="n">
        <f aca="false">IF(A358="池尻大橋",1,0)</f>
        <v>0</v>
      </c>
      <c r="N358" s="0" t="n">
        <f aca="false">IF(A358="三軒茶屋",1,0)</f>
        <v>0</v>
      </c>
      <c r="O358" s="0" t="n">
        <f aca="false">IF(A358="駒沢大学",1,0)</f>
        <v>0</v>
      </c>
      <c r="P358" s="0" t="n">
        <f aca="false">IF(A358="桜新町",1,0)</f>
        <v>0</v>
      </c>
      <c r="Q358" s="0" t="n">
        <f aca="false">IF(A358="二子玉川",1,0)</f>
        <v>1</v>
      </c>
      <c r="R358" s="0" t="n">
        <f aca="false">IF(E358=2021,1,0)</f>
        <v>1</v>
      </c>
      <c r="S358" s="0" t="n">
        <f aca="false">IF(E358=2022,1,0)</f>
        <v>0</v>
      </c>
      <c r="T358" s="0" t="n">
        <f aca="false">IF(E358=2023,1,0)</f>
        <v>0</v>
      </c>
      <c r="U358" s="0" t="n">
        <f aca="false">IF(E358=2024,1,0)</f>
        <v>0</v>
      </c>
    </row>
    <row r="359" customFormat="false" ht="15" hidden="false" customHeight="false" outlineLevel="0" collapsed="false">
      <c r="A359" s="1" t="s">
        <v>13</v>
      </c>
      <c r="B359" s="0" t="n">
        <v>6</v>
      </c>
      <c r="C359" s="0" t="n">
        <v>60</v>
      </c>
      <c r="D359" s="0" t="n">
        <v>2010</v>
      </c>
      <c r="E359" s="0" t="n">
        <v>2021</v>
      </c>
      <c r="F359" s="1" t="s">
        <v>19</v>
      </c>
      <c r="G359" s="0" t="n">
        <v>88000000</v>
      </c>
      <c r="H359" s="0" t="n">
        <f aca="false">LN(G359/C359)</f>
        <v>14.1985028102204</v>
      </c>
      <c r="I359" s="0" t="n">
        <f aca="false">B359</f>
        <v>6</v>
      </c>
      <c r="J359" s="0" t="n">
        <f aca="false">E359-D359</f>
        <v>11</v>
      </c>
      <c r="K359" s="0" t="n">
        <f aca="false">C359</f>
        <v>60</v>
      </c>
      <c r="L359" s="0" t="n">
        <f aca="false">IF(F359="改装済み",1,0)</f>
        <v>0</v>
      </c>
      <c r="M359" s="0" t="n">
        <f aca="false">IF(A359="池尻大橋",1,0)</f>
        <v>0</v>
      </c>
      <c r="N359" s="0" t="n">
        <f aca="false">IF(A359="三軒茶屋",1,0)</f>
        <v>0</v>
      </c>
      <c r="O359" s="0" t="n">
        <f aca="false">IF(A359="駒沢大学",1,0)</f>
        <v>0</v>
      </c>
      <c r="P359" s="0" t="n">
        <f aca="false">IF(A359="桜新町",1,0)</f>
        <v>0</v>
      </c>
      <c r="Q359" s="0" t="n">
        <f aca="false">IF(A359="二子玉川",1,0)</f>
        <v>1</v>
      </c>
      <c r="R359" s="0" t="n">
        <f aca="false">IF(E359=2021,1,0)</f>
        <v>1</v>
      </c>
      <c r="S359" s="0" t="n">
        <f aca="false">IF(E359=2022,1,0)</f>
        <v>0</v>
      </c>
      <c r="T359" s="0" t="n">
        <f aca="false">IF(E359=2023,1,0)</f>
        <v>0</v>
      </c>
      <c r="U359" s="0" t="n">
        <f aca="false">IF(E359=2024,1,0)</f>
        <v>0</v>
      </c>
    </row>
    <row r="360" customFormat="false" ht="15" hidden="false" customHeight="false" outlineLevel="0" collapsed="false">
      <c r="A360" s="1" t="s">
        <v>13</v>
      </c>
      <c r="B360" s="0" t="n">
        <v>8</v>
      </c>
      <c r="C360" s="0" t="n">
        <v>100</v>
      </c>
      <c r="D360" s="0" t="n">
        <v>2010</v>
      </c>
      <c r="E360" s="0" t="n">
        <v>2021</v>
      </c>
      <c r="F360" s="1" t="s">
        <v>19</v>
      </c>
      <c r="G360" s="0" t="n">
        <v>190000000</v>
      </c>
      <c r="H360" s="0" t="n">
        <f aca="false">LN(G360/C360)</f>
        <v>14.4573644441367</v>
      </c>
      <c r="I360" s="0" t="n">
        <f aca="false">B360</f>
        <v>8</v>
      </c>
      <c r="J360" s="0" t="n">
        <f aca="false">E360-D360</f>
        <v>11</v>
      </c>
      <c r="K360" s="0" t="n">
        <f aca="false">C360</f>
        <v>100</v>
      </c>
      <c r="L360" s="0" t="n">
        <f aca="false">IF(F360="改装済み",1,0)</f>
        <v>0</v>
      </c>
      <c r="M360" s="0" t="n">
        <f aca="false">IF(A360="池尻大橋",1,0)</f>
        <v>0</v>
      </c>
      <c r="N360" s="0" t="n">
        <f aca="false">IF(A360="三軒茶屋",1,0)</f>
        <v>0</v>
      </c>
      <c r="O360" s="0" t="n">
        <f aca="false">IF(A360="駒沢大学",1,0)</f>
        <v>0</v>
      </c>
      <c r="P360" s="0" t="n">
        <f aca="false">IF(A360="桜新町",1,0)</f>
        <v>0</v>
      </c>
      <c r="Q360" s="0" t="n">
        <f aca="false">IF(A360="二子玉川",1,0)</f>
        <v>1</v>
      </c>
      <c r="R360" s="0" t="n">
        <f aca="false">IF(E360=2021,1,0)</f>
        <v>1</v>
      </c>
      <c r="S360" s="0" t="n">
        <f aca="false">IF(E360=2022,1,0)</f>
        <v>0</v>
      </c>
      <c r="T360" s="0" t="n">
        <f aca="false">IF(E360=2023,1,0)</f>
        <v>0</v>
      </c>
      <c r="U360" s="0" t="n">
        <f aca="false">IF(E360=2024,1,0)</f>
        <v>0</v>
      </c>
    </row>
    <row r="361" customFormat="false" ht="15" hidden="false" customHeight="false" outlineLevel="0" collapsed="false">
      <c r="A361" s="1" t="s">
        <v>13</v>
      </c>
      <c r="B361" s="0" t="n">
        <v>8</v>
      </c>
      <c r="C361" s="0" t="n">
        <v>85</v>
      </c>
      <c r="D361" s="0" t="n">
        <v>2010</v>
      </c>
      <c r="E361" s="0" t="n">
        <v>2021</v>
      </c>
      <c r="F361" s="1" t="s">
        <v>19</v>
      </c>
      <c r="G361" s="0" t="n">
        <v>130000000</v>
      </c>
      <c r="H361" s="0" t="n">
        <f aca="false">LN(G361/C361)</f>
        <v>14.2403937519295</v>
      </c>
      <c r="I361" s="0" t="n">
        <f aca="false">B361</f>
        <v>8</v>
      </c>
      <c r="J361" s="0" t="n">
        <f aca="false">E361-D361</f>
        <v>11</v>
      </c>
      <c r="K361" s="0" t="n">
        <f aca="false">C361</f>
        <v>85</v>
      </c>
      <c r="L361" s="0" t="n">
        <f aca="false">IF(F361="改装済み",1,0)</f>
        <v>0</v>
      </c>
      <c r="M361" s="0" t="n">
        <f aca="false">IF(A361="池尻大橋",1,0)</f>
        <v>0</v>
      </c>
      <c r="N361" s="0" t="n">
        <f aca="false">IF(A361="三軒茶屋",1,0)</f>
        <v>0</v>
      </c>
      <c r="O361" s="0" t="n">
        <f aca="false">IF(A361="駒沢大学",1,0)</f>
        <v>0</v>
      </c>
      <c r="P361" s="0" t="n">
        <f aca="false">IF(A361="桜新町",1,0)</f>
        <v>0</v>
      </c>
      <c r="Q361" s="0" t="n">
        <f aca="false">IF(A361="二子玉川",1,0)</f>
        <v>1</v>
      </c>
      <c r="R361" s="0" t="n">
        <f aca="false">IF(E361=2021,1,0)</f>
        <v>1</v>
      </c>
      <c r="S361" s="0" t="n">
        <f aca="false">IF(E361=2022,1,0)</f>
        <v>0</v>
      </c>
      <c r="T361" s="0" t="n">
        <f aca="false">IF(E361=2023,1,0)</f>
        <v>0</v>
      </c>
      <c r="U361" s="0" t="n">
        <f aca="false">IF(E361=2024,1,0)</f>
        <v>0</v>
      </c>
    </row>
    <row r="362" customFormat="false" ht="15" hidden="false" customHeight="false" outlineLevel="0" collapsed="false">
      <c r="A362" s="1" t="s">
        <v>13</v>
      </c>
      <c r="B362" s="0" t="n">
        <v>8</v>
      </c>
      <c r="C362" s="0" t="n">
        <v>85</v>
      </c>
      <c r="D362" s="0" t="n">
        <v>2010</v>
      </c>
      <c r="E362" s="0" t="n">
        <v>2021</v>
      </c>
      <c r="F362" s="1" t="s">
        <v>19</v>
      </c>
      <c r="G362" s="0" t="n">
        <v>130000000</v>
      </c>
      <c r="H362" s="0" t="n">
        <f aca="false">LN(G362/C362)</f>
        <v>14.2403937519295</v>
      </c>
      <c r="I362" s="0" t="n">
        <f aca="false">B362</f>
        <v>8</v>
      </c>
      <c r="J362" s="0" t="n">
        <f aca="false">E362-D362</f>
        <v>11</v>
      </c>
      <c r="K362" s="0" t="n">
        <f aca="false">C362</f>
        <v>85</v>
      </c>
      <c r="L362" s="0" t="n">
        <f aca="false">IF(F362="改装済み",1,0)</f>
        <v>0</v>
      </c>
      <c r="M362" s="0" t="n">
        <f aca="false">IF(A362="池尻大橋",1,0)</f>
        <v>0</v>
      </c>
      <c r="N362" s="0" t="n">
        <f aca="false">IF(A362="三軒茶屋",1,0)</f>
        <v>0</v>
      </c>
      <c r="O362" s="0" t="n">
        <f aca="false">IF(A362="駒沢大学",1,0)</f>
        <v>0</v>
      </c>
      <c r="P362" s="0" t="n">
        <f aca="false">IF(A362="桜新町",1,0)</f>
        <v>0</v>
      </c>
      <c r="Q362" s="0" t="n">
        <f aca="false">IF(A362="二子玉川",1,0)</f>
        <v>1</v>
      </c>
      <c r="R362" s="0" t="n">
        <f aca="false">IF(E362=2021,1,0)</f>
        <v>1</v>
      </c>
      <c r="S362" s="0" t="n">
        <f aca="false">IF(E362=2022,1,0)</f>
        <v>0</v>
      </c>
      <c r="T362" s="0" t="n">
        <f aca="false">IF(E362=2023,1,0)</f>
        <v>0</v>
      </c>
      <c r="U362" s="0" t="n">
        <f aca="false">IF(E362=2024,1,0)</f>
        <v>0</v>
      </c>
    </row>
    <row r="363" customFormat="false" ht="15" hidden="false" customHeight="false" outlineLevel="0" collapsed="false">
      <c r="A363" s="1" t="s">
        <v>13</v>
      </c>
      <c r="B363" s="0" t="n">
        <v>6</v>
      </c>
      <c r="C363" s="0" t="n">
        <v>65</v>
      </c>
      <c r="D363" s="0" t="n">
        <v>2015</v>
      </c>
      <c r="E363" s="0" t="n">
        <v>2021</v>
      </c>
      <c r="F363" s="1" t="s">
        <v>19</v>
      </c>
      <c r="G363" s="0" t="n">
        <v>100000000</v>
      </c>
      <c r="H363" s="0" t="n">
        <f aca="false">LN(G363/C363)</f>
        <v>14.2462934740567</v>
      </c>
      <c r="I363" s="0" t="n">
        <f aca="false">B363</f>
        <v>6</v>
      </c>
      <c r="J363" s="0" t="n">
        <f aca="false">E363-D363</f>
        <v>6</v>
      </c>
      <c r="K363" s="0" t="n">
        <f aca="false">C363</f>
        <v>65</v>
      </c>
      <c r="L363" s="0" t="n">
        <f aca="false">IF(F363="改装済み",1,0)</f>
        <v>0</v>
      </c>
      <c r="M363" s="0" t="n">
        <f aca="false">IF(A363="池尻大橋",1,0)</f>
        <v>0</v>
      </c>
      <c r="N363" s="0" t="n">
        <f aca="false">IF(A363="三軒茶屋",1,0)</f>
        <v>0</v>
      </c>
      <c r="O363" s="0" t="n">
        <f aca="false">IF(A363="駒沢大学",1,0)</f>
        <v>0</v>
      </c>
      <c r="P363" s="0" t="n">
        <f aca="false">IF(A363="桜新町",1,0)</f>
        <v>0</v>
      </c>
      <c r="Q363" s="0" t="n">
        <f aca="false">IF(A363="二子玉川",1,0)</f>
        <v>1</v>
      </c>
      <c r="R363" s="0" t="n">
        <f aca="false">IF(E363=2021,1,0)</f>
        <v>1</v>
      </c>
      <c r="S363" s="0" t="n">
        <f aca="false">IF(E363=2022,1,0)</f>
        <v>0</v>
      </c>
      <c r="T363" s="0" t="n">
        <f aca="false">IF(E363=2023,1,0)</f>
        <v>0</v>
      </c>
      <c r="U363" s="0" t="n">
        <f aca="false">IF(E363=2024,1,0)</f>
        <v>0</v>
      </c>
    </row>
    <row r="364" customFormat="false" ht="15" hidden="false" customHeight="false" outlineLevel="0" collapsed="false">
      <c r="A364" s="1" t="s">
        <v>13</v>
      </c>
      <c r="B364" s="0" t="n">
        <v>5</v>
      </c>
      <c r="C364" s="0" t="n">
        <v>65</v>
      </c>
      <c r="D364" s="0" t="n">
        <v>1995</v>
      </c>
      <c r="E364" s="0" t="n">
        <v>2021</v>
      </c>
      <c r="F364" s="1" t="s">
        <v>18</v>
      </c>
      <c r="G364" s="0" t="n">
        <v>75000000</v>
      </c>
      <c r="H364" s="0" t="n">
        <f aca="false">LN(G364/C364)</f>
        <v>13.9586114016049</v>
      </c>
      <c r="I364" s="0" t="n">
        <f aca="false">B364</f>
        <v>5</v>
      </c>
      <c r="J364" s="0" t="n">
        <f aca="false">E364-D364</f>
        <v>26</v>
      </c>
      <c r="K364" s="0" t="n">
        <f aca="false">C364</f>
        <v>65</v>
      </c>
      <c r="L364" s="0" t="n">
        <f aca="false">IF(F364="改装済み",1,0)</f>
        <v>1</v>
      </c>
      <c r="M364" s="0" t="n">
        <f aca="false">IF(A364="池尻大橋",1,0)</f>
        <v>0</v>
      </c>
      <c r="N364" s="0" t="n">
        <f aca="false">IF(A364="三軒茶屋",1,0)</f>
        <v>0</v>
      </c>
      <c r="O364" s="0" t="n">
        <f aca="false">IF(A364="駒沢大学",1,0)</f>
        <v>0</v>
      </c>
      <c r="P364" s="0" t="n">
        <f aca="false">IF(A364="桜新町",1,0)</f>
        <v>0</v>
      </c>
      <c r="Q364" s="0" t="n">
        <f aca="false">IF(A364="二子玉川",1,0)</f>
        <v>1</v>
      </c>
      <c r="R364" s="0" t="n">
        <f aca="false">IF(E364=2021,1,0)</f>
        <v>1</v>
      </c>
      <c r="S364" s="0" t="n">
        <f aca="false">IF(E364=2022,1,0)</f>
        <v>0</v>
      </c>
      <c r="T364" s="0" t="n">
        <f aca="false">IF(E364=2023,1,0)</f>
        <v>0</v>
      </c>
      <c r="U364" s="0" t="n">
        <f aca="false">IF(E364=2024,1,0)</f>
        <v>0</v>
      </c>
    </row>
    <row r="365" customFormat="false" ht="15" hidden="false" customHeight="false" outlineLevel="0" collapsed="false">
      <c r="A365" s="1" t="s">
        <v>13</v>
      </c>
      <c r="B365" s="0" t="n">
        <v>10</v>
      </c>
      <c r="C365" s="0" t="n">
        <v>60</v>
      </c>
      <c r="D365" s="0" t="n">
        <v>1986</v>
      </c>
      <c r="E365" s="0" t="n">
        <v>2021</v>
      </c>
      <c r="F365" s="1" t="s">
        <v>19</v>
      </c>
      <c r="G365" s="0" t="n">
        <v>46000000</v>
      </c>
      <c r="H365" s="0" t="n">
        <f aca="false">LN(G365/C365)</f>
        <v>13.5498073922313</v>
      </c>
      <c r="I365" s="0" t="n">
        <f aca="false">B365</f>
        <v>10</v>
      </c>
      <c r="J365" s="0" t="n">
        <f aca="false">E365-D365</f>
        <v>35</v>
      </c>
      <c r="K365" s="0" t="n">
        <f aca="false">C365</f>
        <v>60</v>
      </c>
      <c r="L365" s="0" t="n">
        <f aca="false">IF(F365="改装済み",1,0)</f>
        <v>0</v>
      </c>
      <c r="M365" s="0" t="n">
        <f aca="false">IF(A365="池尻大橋",1,0)</f>
        <v>0</v>
      </c>
      <c r="N365" s="0" t="n">
        <f aca="false">IF(A365="三軒茶屋",1,0)</f>
        <v>0</v>
      </c>
      <c r="O365" s="0" t="n">
        <f aca="false">IF(A365="駒沢大学",1,0)</f>
        <v>0</v>
      </c>
      <c r="P365" s="0" t="n">
        <f aca="false">IF(A365="桜新町",1,0)</f>
        <v>0</v>
      </c>
      <c r="Q365" s="0" t="n">
        <f aca="false">IF(A365="二子玉川",1,0)</f>
        <v>1</v>
      </c>
      <c r="R365" s="0" t="n">
        <f aca="false">IF(E365=2021,1,0)</f>
        <v>1</v>
      </c>
      <c r="S365" s="0" t="n">
        <f aca="false">IF(E365=2022,1,0)</f>
        <v>0</v>
      </c>
      <c r="T365" s="0" t="n">
        <f aca="false">IF(E365=2023,1,0)</f>
        <v>0</v>
      </c>
      <c r="U365" s="0" t="n">
        <f aca="false">IF(E365=2024,1,0)</f>
        <v>0</v>
      </c>
    </row>
    <row r="366" customFormat="false" ht="15" hidden="false" customHeight="false" outlineLevel="0" collapsed="false">
      <c r="A366" s="1" t="s">
        <v>13</v>
      </c>
      <c r="B366" s="0" t="n">
        <v>2</v>
      </c>
      <c r="C366" s="0" t="n">
        <v>55</v>
      </c>
      <c r="D366" s="0" t="n">
        <v>1977</v>
      </c>
      <c r="E366" s="0" t="n">
        <v>2021</v>
      </c>
      <c r="F366" s="1" t="s">
        <v>19</v>
      </c>
      <c r="G366" s="0" t="n">
        <v>43000000</v>
      </c>
      <c r="H366" s="0" t="n">
        <f aca="false">LN(G366/C366)</f>
        <v>13.5693774884254</v>
      </c>
      <c r="I366" s="0" t="n">
        <f aca="false">B366</f>
        <v>2</v>
      </c>
      <c r="J366" s="0" t="n">
        <f aca="false">E366-D366</f>
        <v>44</v>
      </c>
      <c r="K366" s="0" t="n">
        <f aca="false">C366</f>
        <v>55</v>
      </c>
      <c r="L366" s="0" t="n">
        <f aca="false">IF(F366="改装済み",1,0)</f>
        <v>0</v>
      </c>
      <c r="M366" s="0" t="n">
        <f aca="false">IF(A366="池尻大橋",1,0)</f>
        <v>0</v>
      </c>
      <c r="N366" s="0" t="n">
        <f aca="false">IF(A366="三軒茶屋",1,0)</f>
        <v>0</v>
      </c>
      <c r="O366" s="0" t="n">
        <f aca="false">IF(A366="駒沢大学",1,0)</f>
        <v>0</v>
      </c>
      <c r="P366" s="0" t="n">
        <f aca="false">IF(A366="桜新町",1,0)</f>
        <v>0</v>
      </c>
      <c r="Q366" s="0" t="n">
        <f aca="false">IF(A366="二子玉川",1,0)</f>
        <v>1</v>
      </c>
      <c r="R366" s="0" t="n">
        <f aca="false">IF(E366=2021,1,0)</f>
        <v>1</v>
      </c>
      <c r="S366" s="0" t="n">
        <f aca="false">IF(E366=2022,1,0)</f>
        <v>0</v>
      </c>
      <c r="T366" s="0" t="n">
        <f aca="false">IF(E366=2023,1,0)</f>
        <v>0</v>
      </c>
      <c r="U366" s="0" t="n">
        <f aca="false">IF(E366=2024,1,0)</f>
        <v>0</v>
      </c>
    </row>
    <row r="367" customFormat="false" ht="15" hidden="false" customHeight="false" outlineLevel="0" collapsed="false">
      <c r="A367" s="1" t="s">
        <v>13</v>
      </c>
      <c r="B367" s="0" t="n">
        <v>6</v>
      </c>
      <c r="C367" s="0" t="n">
        <v>50</v>
      </c>
      <c r="D367" s="0" t="n">
        <v>2015</v>
      </c>
      <c r="E367" s="0" t="n">
        <v>2021</v>
      </c>
      <c r="F367" s="1" t="s">
        <v>19</v>
      </c>
      <c r="G367" s="0" t="n">
        <v>72000000</v>
      </c>
      <c r="H367" s="0" t="n">
        <f aca="false">LN(G367/C367)</f>
        <v>14.1801536715522</v>
      </c>
      <c r="I367" s="0" t="n">
        <f aca="false">B367</f>
        <v>6</v>
      </c>
      <c r="J367" s="0" t="n">
        <f aca="false">E367-D367</f>
        <v>6</v>
      </c>
      <c r="K367" s="0" t="n">
        <f aca="false">C367</f>
        <v>50</v>
      </c>
      <c r="L367" s="0" t="n">
        <f aca="false">IF(F367="改装済み",1,0)</f>
        <v>0</v>
      </c>
      <c r="M367" s="0" t="n">
        <f aca="false">IF(A367="池尻大橋",1,0)</f>
        <v>0</v>
      </c>
      <c r="N367" s="0" t="n">
        <f aca="false">IF(A367="三軒茶屋",1,0)</f>
        <v>0</v>
      </c>
      <c r="O367" s="0" t="n">
        <f aca="false">IF(A367="駒沢大学",1,0)</f>
        <v>0</v>
      </c>
      <c r="P367" s="0" t="n">
        <f aca="false">IF(A367="桜新町",1,0)</f>
        <v>0</v>
      </c>
      <c r="Q367" s="0" t="n">
        <f aca="false">IF(A367="二子玉川",1,0)</f>
        <v>1</v>
      </c>
      <c r="R367" s="0" t="n">
        <f aca="false">IF(E367=2021,1,0)</f>
        <v>1</v>
      </c>
      <c r="S367" s="0" t="n">
        <f aca="false">IF(E367=2022,1,0)</f>
        <v>0</v>
      </c>
      <c r="T367" s="0" t="n">
        <f aca="false">IF(E367=2023,1,0)</f>
        <v>0</v>
      </c>
      <c r="U367" s="0" t="n">
        <f aca="false">IF(E367=2024,1,0)</f>
        <v>0</v>
      </c>
    </row>
    <row r="368" customFormat="false" ht="15" hidden="false" customHeight="false" outlineLevel="0" collapsed="false">
      <c r="A368" s="1" t="s">
        <v>13</v>
      </c>
      <c r="B368" s="0" t="n">
        <v>6</v>
      </c>
      <c r="C368" s="0" t="n">
        <v>75</v>
      </c>
      <c r="D368" s="0" t="n">
        <v>2010</v>
      </c>
      <c r="E368" s="0" t="n">
        <v>2021</v>
      </c>
      <c r="F368" s="1" t="s">
        <v>19</v>
      </c>
      <c r="G368" s="0" t="n">
        <v>110000000</v>
      </c>
      <c r="H368" s="0" t="n">
        <f aca="false">LN(G368/C368)</f>
        <v>14.1985028102204</v>
      </c>
      <c r="I368" s="0" t="n">
        <f aca="false">B368</f>
        <v>6</v>
      </c>
      <c r="J368" s="0" t="n">
        <f aca="false">E368-D368</f>
        <v>11</v>
      </c>
      <c r="K368" s="0" t="n">
        <f aca="false">C368</f>
        <v>75</v>
      </c>
      <c r="L368" s="0" t="n">
        <f aca="false">IF(F368="改装済み",1,0)</f>
        <v>0</v>
      </c>
      <c r="M368" s="0" t="n">
        <f aca="false">IF(A368="池尻大橋",1,0)</f>
        <v>0</v>
      </c>
      <c r="N368" s="0" t="n">
        <f aca="false">IF(A368="三軒茶屋",1,0)</f>
        <v>0</v>
      </c>
      <c r="O368" s="0" t="n">
        <f aca="false">IF(A368="駒沢大学",1,0)</f>
        <v>0</v>
      </c>
      <c r="P368" s="0" t="n">
        <f aca="false">IF(A368="桜新町",1,0)</f>
        <v>0</v>
      </c>
      <c r="Q368" s="0" t="n">
        <f aca="false">IF(A368="二子玉川",1,0)</f>
        <v>1</v>
      </c>
      <c r="R368" s="0" t="n">
        <f aca="false">IF(E368=2021,1,0)</f>
        <v>1</v>
      </c>
      <c r="S368" s="0" t="n">
        <f aca="false">IF(E368=2022,1,0)</f>
        <v>0</v>
      </c>
      <c r="T368" s="0" t="n">
        <f aca="false">IF(E368=2023,1,0)</f>
        <v>0</v>
      </c>
      <c r="U368" s="0" t="n">
        <f aca="false">IF(E368=2024,1,0)</f>
        <v>0</v>
      </c>
    </row>
    <row r="369" customFormat="false" ht="15" hidden="false" customHeight="false" outlineLevel="0" collapsed="false">
      <c r="A369" s="1" t="s">
        <v>13</v>
      </c>
      <c r="B369" s="0" t="n">
        <v>4</v>
      </c>
      <c r="C369" s="0" t="n">
        <v>60</v>
      </c>
      <c r="D369" s="0" t="n">
        <v>1977</v>
      </c>
      <c r="E369" s="0" t="n">
        <v>2021</v>
      </c>
      <c r="F369" s="1" t="s">
        <v>19</v>
      </c>
      <c r="G369" s="0" t="n">
        <v>57000000</v>
      </c>
      <c r="H369" s="0" t="n">
        <f aca="false">LN(G369/C369)</f>
        <v>13.7642172635767</v>
      </c>
      <c r="I369" s="0" t="n">
        <f aca="false">B369</f>
        <v>4</v>
      </c>
      <c r="J369" s="0" t="n">
        <f aca="false">E369-D369</f>
        <v>44</v>
      </c>
      <c r="K369" s="0" t="n">
        <f aca="false">C369</f>
        <v>60</v>
      </c>
      <c r="L369" s="0" t="n">
        <f aca="false">IF(F369="改装済み",1,0)</f>
        <v>0</v>
      </c>
      <c r="M369" s="0" t="n">
        <f aca="false">IF(A369="池尻大橋",1,0)</f>
        <v>0</v>
      </c>
      <c r="N369" s="0" t="n">
        <f aca="false">IF(A369="三軒茶屋",1,0)</f>
        <v>0</v>
      </c>
      <c r="O369" s="0" t="n">
        <f aca="false">IF(A369="駒沢大学",1,0)</f>
        <v>0</v>
      </c>
      <c r="P369" s="0" t="n">
        <f aca="false">IF(A369="桜新町",1,0)</f>
        <v>0</v>
      </c>
      <c r="Q369" s="0" t="n">
        <f aca="false">IF(A369="二子玉川",1,0)</f>
        <v>1</v>
      </c>
      <c r="R369" s="0" t="n">
        <f aca="false">IF(E369=2021,1,0)</f>
        <v>1</v>
      </c>
      <c r="S369" s="0" t="n">
        <f aca="false">IF(E369=2022,1,0)</f>
        <v>0</v>
      </c>
      <c r="T369" s="0" t="n">
        <f aca="false">IF(E369=2023,1,0)</f>
        <v>0</v>
      </c>
      <c r="U369" s="0" t="n">
        <f aca="false">IF(E369=2024,1,0)</f>
        <v>0</v>
      </c>
    </row>
    <row r="370" customFormat="false" ht="15" hidden="false" customHeight="false" outlineLevel="0" collapsed="false">
      <c r="A370" s="1" t="s">
        <v>13</v>
      </c>
      <c r="B370" s="0" t="n">
        <v>6</v>
      </c>
      <c r="C370" s="0" t="n">
        <v>75</v>
      </c>
      <c r="D370" s="0" t="n">
        <v>2019</v>
      </c>
      <c r="E370" s="0" t="n">
        <v>2021</v>
      </c>
      <c r="F370" s="1" t="s">
        <v>19</v>
      </c>
      <c r="G370" s="0" t="n">
        <v>110000000</v>
      </c>
      <c r="H370" s="0" t="n">
        <f aca="false">LN(G370/C370)</f>
        <v>14.1985028102204</v>
      </c>
      <c r="I370" s="0" t="n">
        <f aca="false">B370</f>
        <v>6</v>
      </c>
      <c r="J370" s="0" t="n">
        <f aca="false">E370-D370</f>
        <v>2</v>
      </c>
      <c r="K370" s="0" t="n">
        <f aca="false">C370</f>
        <v>75</v>
      </c>
      <c r="L370" s="0" t="n">
        <f aca="false">IF(F370="改装済み",1,0)</f>
        <v>0</v>
      </c>
      <c r="M370" s="0" t="n">
        <f aca="false">IF(A370="池尻大橋",1,0)</f>
        <v>0</v>
      </c>
      <c r="N370" s="0" t="n">
        <f aca="false">IF(A370="三軒茶屋",1,0)</f>
        <v>0</v>
      </c>
      <c r="O370" s="0" t="n">
        <f aca="false">IF(A370="駒沢大学",1,0)</f>
        <v>0</v>
      </c>
      <c r="P370" s="0" t="n">
        <f aca="false">IF(A370="桜新町",1,0)</f>
        <v>0</v>
      </c>
      <c r="Q370" s="0" t="n">
        <f aca="false">IF(A370="二子玉川",1,0)</f>
        <v>1</v>
      </c>
      <c r="R370" s="0" t="n">
        <f aca="false">IF(E370=2021,1,0)</f>
        <v>1</v>
      </c>
      <c r="S370" s="0" t="n">
        <f aca="false">IF(E370=2022,1,0)</f>
        <v>0</v>
      </c>
      <c r="T370" s="0" t="n">
        <f aca="false">IF(E370=2023,1,0)</f>
        <v>0</v>
      </c>
      <c r="U370" s="0" t="n">
        <f aca="false">IF(E370=2024,1,0)</f>
        <v>0</v>
      </c>
    </row>
    <row r="371" customFormat="false" ht="15" hidden="false" customHeight="false" outlineLevel="0" collapsed="false">
      <c r="A371" s="1" t="s">
        <v>13</v>
      </c>
      <c r="B371" s="0" t="n">
        <v>4</v>
      </c>
      <c r="C371" s="0" t="n">
        <v>75</v>
      </c>
      <c r="D371" s="0" t="n">
        <v>1991</v>
      </c>
      <c r="E371" s="0" t="n">
        <v>2021</v>
      </c>
      <c r="F371" s="1" t="s">
        <v>19</v>
      </c>
      <c r="G371" s="0" t="n">
        <v>50000000</v>
      </c>
      <c r="H371" s="0" t="n">
        <f aca="false">LN(G371/C371)</f>
        <v>13.4100454498561</v>
      </c>
      <c r="I371" s="0" t="n">
        <f aca="false">B371</f>
        <v>4</v>
      </c>
      <c r="J371" s="0" t="n">
        <f aca="false">E371-D371</f>
        <v>30</v>
      </c>
      <c r="K371" s="0" t="n">
        <f aca="false">C371</f>
        <v>75</v>
      </c>
      <c r="L371" s="0" t="n">
        <f aca="false">IF(F371="改装済み",1,0)</f>
        <v>0</v>
      </c>
      <c r="M371" s="0" t="n">
        <f aca="false">IF(A371="池尻大橋",1,0)</f>
        <v>0</v>
      </c>
      <c r="N371" s="0" t="n">
        <f aca="false">IF(A371="三軒茶屋",1,0)</f>
        <v>0</v>
      </c>
      <c r="O371" s="0" t="n">
        <f aca="false">IF(A371="駒沢大学",1,0)</f>
        <v>0</v>
      </c>
      <c r="P371" s="0" t="n">
        <f aca="false">IF(A371="桜新町",1,0)</f>
        <v>0</v>
      </c>
      <c r="Q371" s="0" t="n">
        <f aca="false">IF(A371="二子玉川",1,0)</f>
        <v>1</v>
      </c>
      <c r="R371" s="0" t="n">
        <f aca="false">IF(E371=2021,1,0)</f>
        <v>1</v>
      </c>
      <c r="S371" s="0" t="n">
        <f aca="false">IF(E371=2022,1,0)</f>
        <v>0</v>
      </c>
      <c r="T371" s="0" t="n">
        <f aca="false">IF(E371=2023,1,0)</f>
        <v>0</v>
      </c>
      <c r="U371" s="0" t="n">
        <f aca="false">IF(E371=2024,1,0)</f>
        <v>0</v>
      </c>
    </row>
    <row r="372" customFormat="false" ht="15" hidden="false" customHeight="false" outlineLevel="0" collapsed="false">
      <c r="A372" s="1" t="s">
        <v>13</v>
      </c>
      <c r="B372" s="0" t="n">
        <v>8</v>
      </c>
      <c r="C372" s="0" t="n">
        <v>75</v>
      </c>
      <c r="D372" s="0" t="n">
        <v>2010</v>
      </c>
      <c r="E372" s="0" t="n">
        <v>2021</v>
      </c>
      <c r="F372" s="1" t="s">
        <v>19</v>
      </c>
      <c r="G372" s="0" t="n">
        <v>120000000</v>
      </c>
      <c r="H372" s="0" t="n">
        <f aca="false">LN(G372/C372)</f>
        <v>14.28551418721</v>
      </c>
      <c r="I372" s="0" t="n">
        <f aca="false">B372</f>
        <v>8</v>
      </c>
      <c r="J372" s="0" t="n">
        <f aca="false">E372-D372</f>
        <v>11</v>
      </c>
      <c r="K372" s="0" t="n">
        <f aca="false">C372</f>
        <v>75</v>
      </c>
      <c r="L372" s="0" t="n">
        <f aca="false">IF(F372="改装済み",1,0)</f>
        <v>0</v>
      </c>
      <c r="M372" s="0" t="n">
        <f aca="false">IF(A372="池尻大橋",1,0)</f>
        <v>0</v>
      </c>
      <c r="N372" s="0" t="n">
        <f aca="false">IF(A372="三軒茶屋",1,0)</f>
        <v>0</v>
      </c>
      <c r="O372" s="0" t="n">
        <f aca="false">IF(A372="駒沢大学",1,0)</f>
        <v>0</v>
      </c>
      <c r="P372" s="0" t="n">
        <f aca="false">IF(A372="桜新町",1,0)</f>
        <v>0</v>
      </c>
      <c r="Q372" s="0" t="n">
        <f aca="false">IF(A372="二子玉川",1,0)</f>
        <v>1</v>
      </c>
      <c r="R372" s="0" t="n">
        <f aca="false">IF(E372=2021,1,0)</f>
        <v>1</v>
      </c>
      <c r="S372" s="0" t="n">
        <f aca="false">IF(E372=2022,1,0)</f>
        <v>0</v>
      </c>
      <c r="T372" s="0" t="n">
        <f aca="false">IF(E372=2023,1,0)</f>
        <v>0</v>
      </c>
      <c r="U372" s="0" t="n">
        <f aca="false">IF(E372=2024,1,0)</f>
        <v>0</v>
      </c>
    </row>
    <row r="373" customFormat="false" ht="15" hidden="false" customHeight="false" outlineLevel="0" collapsed="false">
      <c r="A373" s="1" t="s">
        <v>13</v>
      </c>
      <c r="B373" s="0" t="n">
        <v>6</v>
      </c>
      <c r="C373" s="0" t="n">
        <v>50</v>
      </c>
      <c r="D373" s="0" t="n">
        <v>2015</v>
      </c>
      <c r="E373" s="0" t="n">
        <v>2021</v>
      </c>
      <c r="F373" s="1" t="s">
        <v>19</v>
      </c>
      <c r="G373" s="0" t="n">
        <v>76000000</v>
      </c>
      <c r="H373" s="0" t="n">
        <f aca="false">LN(G373/C373)</f>
        <v>14.2342208928225</v>
      </c>
      <c r="I373" s="0" t="n">
        <f aca="false">B373</f>
        <v>6</v>
      </c>
      <c r="J373" s="0" t="n">
        <f aca="false">E373-D373</f>
        <v>6</v>
      </c>
      <c r="K373" s="0" t="n">
        <f aca="false">C373</f>
        <v>50</v>
      </c>
      <c r="L373" s="0" t="n">
        <f aca="false">IF(F373="改装済み",1,0)</f>
        <v>0</v>
      </c>
      <c r="M373" s="0" t="n">
        <f aca="false">IF(A373="池尻大橋",1,0)</f>
        <v>0</v>
      </c>
      <c r="N373" s="0" t="n">
        <f aca="false">IF(A373="三軒茶屋",1,0)</f>
        <v>0</v>
      </c>
      <c r="O373" s="0" t="n">
        <f aca="false">IF(A373="駒沢大学",1,0)</f>
        <v>0</v>
      </c>
      <c r="P373" s="0" t="n">
        <f aca="false">IF(A373="桜新町",1,0)</f>
        <v>0</v>
      </c>
      <c r="Q373" s="0" t="n">
        <f aca="false">IF(A373="二子玉川",1,0)</f>
        <v>1</v>
      </c>
      <c r="R373" s="0" t="n">
        <f aca="false">IF(E373=2021,1,0)</f>
        <v>1</v>
      </c>
      <c r="S373" s="0" t="n">
        <f aca="false">IF(E373=2022,1,0)</f>
        <v>0</v>
      </c>
      <c r="T373" s="0" t="n">
        <f aca="false">IF(E373=2023,1,0)</f>
        <v>0</v>
      </c>
      <c r="U373" s="0" t="n">
        <f aca="false">IF(E373=2024,1,0)</f>
        <v>0</v>
      </c>
    </row>
    <row r="374" customFormat="false" ht="15" hidden="false" customHeight="false" outlineLevel="0" collapsed="false">
      <c r="A374" s="1" t="s">
        <v>20</v>
      </c>
      <c r="B374" s="0" t="n">
        <v>8</v>
      </c>
      <c r="C374" s="0" t="n">
        <v>85</v>
      </c>
      <c r="D374" s="0" t="n">
        <v>2007</v>
      </c>
      <c r="E374" s="0" t="n">
        <v>2025</v>
      </c>
      <c r="F374" s="1" t="s">
        <v>18</v>
      </c>
      <c r="G374" s="0" t="n">
        <v>140000000</v>
      </c>
      <c r="H374" s="0" t="n">
        <f aca="false">LN(G374/C374)</f>
        <v>14.3145017240833</v>
      </c>
      <c r="I374" s="0" t="n">
        <f aca="false">B374</f>
        <v>8</v>
      </c>
      <c r="J374" s="0" t="n">
        <f aca="false">E374-D374</f>
        <v>18</v>
      </c>
      <c r="K374" s="0" t="n">
        <f aca="false">C374</f>
        <v>85</v>
      </c>
      <c r="L374" s="0" t="n">
        <f aca="false">IF(F374="改装済み",1,0)</f>
        <v>1</v>
      </c>
      <c r="M374" s="0" t="n">
        <f aca="false">IF(A374="池尻大橋",1,0)</f>
        <v>0</v>
      </c>
      <c r="N374" s="0" t="n">
        <f aca="false">IF(A374="三軒茶屋",1,0)</f>
        <v>0</v>
      </c>
      <c r="O374" s="0" t="n">
        <f aca="false">IF(A374="駒沢大学",1,0)</f>
        <v>0</v>
      </c>
      <c r="P374" s="0" t="n">
        <f aca="false">IF(A374="桜新町",1,0)</f>
        <v>0</v>
      </c>
      <c r="Q374" s="0" t="n">
        <f aca="false">IF(A374="二子玉川",1,0)</f>
        <v>0</v>
      </c>
      <c r="R374" s="0" t="n">
        <f aca="false">IF(E374=2021,1,0)</f>
        <v>0</v>
      </c>
      <c r="S374" s="0" t="n">
        <f aca="false">IF(E374=2022,1,0)</f>
        <v>0</v>
      </c>
      <c r="T374" s="0" t="n">
        <f aca="false">IF(E374=2023,1,0)</f>
        <v>0</v>
      </c>
      <c r="U374" s="0" t="n">
        <f aca="false">IF(E374=2024,1,0)</f>
        <v>0</v>
      </c>
    </row>
    <row r="375" customFormat="false" ht="15" hidden="false" customHeight="false" outlineLevel="0" collapsed="false">
      <c r="A375" s="1" t="s">
        <v>20</v>
      </c>
      <c r="B375" s="0" t="n">
        <v>8</v>
      </c>
      <c r="C375" s="0" t="n">
        <v>75</v>
      </c>
      <c r="D375" s="0" t="n">
        <v>2002</v>
      </c>
      <c r="E375" s="0" t="n">
        <v>2025</v>
      </c>
      <c r="F375" s="1" t="s">
        <v>18</v>
      </c>
      <c r="G375" s="0" t="n">
        <v>120000000</v>
      </c>
      <c r="H375" s="0" t="n">
        <f aca="false">LN(G375/C375)</f>
        <v>14.28551418721</v>
      </c>
      <c r="I375" s="0" t="n">
        <f aca="false">B375</f>
        <v>8</v>
      </c>
      <c r="J375" s="0" t="n">
        <f aca="false">E375-D375</f>
        <v>23</v>
      </c>
      <c r="K375" s="0" t="n">
        <f aca="false">C375</f>
        <v>75</v>
      </c>
      <c r="L375" s="0" t="n">
        <f aca="false">IF(F375="改装済み",1,0)</f>
        <v>1</v>
      </c>
      <c r="M375" s="0" t="n">
        <f aca="false">IF(A375="池尻大橋",1,0)</f>
        <v>0</v>
      </c>
      <c r="N375" s="0" t="n">
        <f aca="false">IF(A375="三軒茶屋",1,0)</f>
        <v>0</v>
      </c>
      <c r="O375" s="0" t="n">
        <f aca="false">IF(A375="駒沢大学",1,0)</f>
        <v>0</v>
      </c>
      <c r="P375" s="0" t="n">
        <f aca="false">IF(A375="桜新町",1,0)</f>
        <v>0</v>
      </c>
      <c r="Q375" s="0" t="n">
        <f aca="false">IF(A375="二子玉川",1,0)</f>
        <v>0</v>
      </c>
      <c r="R375" s="0" t="n">
        <f aca="false">IF(E375=2021,1,0)</f>
        <v>0</v>
      </c>
      <c r="S375" s="0" t="n">
        <f aca="false">IF(E375=2022,1,0)</f>
        <v>0</v>
      </c>
      <c r="T375" s="0" t="n">
        <f aca="false">IF(E375=2023,1,0)</f>
        <v>0</v>
      </c>
      <c r="U375" s="0" t="n">
        <f aca="false">IF(E375=2024,1,0)</f>
        <v>0</v>
      </c>
    </row>
    <row r="376" customFormat="false" ht="15" hidden="false" customHeight="false" outlineLevel="0" collapsed="false">
      <c r="A376" s="1" t="s">
        <v>20</v>
      </c>
      <c r="B376" s="0" t="n">
        <v>3</v>
      </c>
      <c r="C376" s="0" t="n">
        <v>55</v>
      </c>
      <c r="D376" s="0" t="n">
        <v>2021</v>
      </c>
      <c r="E376" s="0" t="n">
        <v>2025</v>
      </c>
      <c r="F376" s="1" t="s">
        <v>19</v>
      </c>
      <c r="G376" s="0" t="n">
        <v>100000000</v>
      </c>
      <c r="H376" s="0" t="n">
        <f aca="false">LN(G376/C376)</f>
        <v>14.4133475587199</v>
      </c>
      <c r="I376" s="0" t="n">
        <f aca="false">B376</f>
        <v>3</v>
      </c>
      <c r="J376" s="0" t="n">
        <f aca="false">E376-D376</f>
        <v>4</v>
      </c>
      <c r="K376" s="0" t="n">
        <f aca="false">C376</f>
        <v>55</v>
      </c>
      <c r="L376" s="0" t="n">
        <f aca="false">IF(F376="改装済み",1,0)</f>
        <v>0</v>
      </c>
      <c r="M376" s="0" t="n">
        <f aca="false">IF(A376="池尻大橋",1,0)</f>
        <v>0</v>
      </c>
      <c r="N376" s="0" t="n">
        <f aca="false">IF(A376="三軒茶屋",1,0)</f>
        <v>0</v>
      </c>
      <c r="O376" s="0" t="n">
        <f aca="false">IF(A376="駒沢大学",1,0)</f>
        <v>0</v>
      </c>
      <c r="P376" s="0" t="n">
        <f aca="false">IF(A376="桜新町",1,0)</f>
        <v>0</v>
      </c>
      <c r="Q376" s="0" t="n">
        <f aca="false">IF(A376="二子玉川",1,0)</f>
        <v>0</v>
      </c>
      <c r="R376" s="0" t="n">
        <f aca="false">IF(E376=2021,1,0)</f>
        <v>0</v>
      </c>
      <c r="S376" s="0" t="n">
        <f aca="false">IF(E376=2022,1,0)</f>
        <v>0</v>
      </c>
      <c r="T376" s="0" t="n">
        <f aca="false">IF(E376=2023,1,0)</f>
        <v>0</v>
      </c>
      <c r="U376" s="0" t="n">
        <f aca="false">IF(E376=2024,1,0)</f>
        <v>0</v>
      </c>
    </row>
    <row r="377" customFormat="false" ht="15" hidden="false" customHeight="false" outlineLevel="0" collapsed="false">
      <c r="A377" s="1" t="s">
        <v>20</v>
      </c>
      <c r="B377" s="0" t="n">
        <v>7</v>
      </c>
      <c r="C377" s="0" t="n">
        <v>50</v>
      </c>
      <c r="D377" s="0" t="n">
        <v>2004</v>
      </c>
      <c r="E377" s="0" t="n">
        <v>2025</v>
      </c>
      <c r="F377" s="1" t="s">
        <v>19</v>
      </c>
      <c r="G377" s="0" t="n">
        <v>58000000</v>
      </c>
      <c r="H377" s="0" t="n">
        <f aca="false">LN(G377/C377)</f>
        <v>13.9639305630825</v>
      </c>
      <c r="I377" s="0" t="n">
        <f aca="false">B377</f>
        <v>7</v>
      </c>
      <c r="J377" s="0" t="n">
        <f aca="false">E377-D377</f>
        <v>21</v>
      </c>
      <c r="K377" s="0" t="n">
        <f aca="false">C377</f>
        <v>50</v>
      </c>
      <c r="L377" s="0" t="n">
        <f aca="false">IF(F377="改装済み",1,0)</f>
        <v>0</v>
      </c>
      <c r="M377" s="0" t="n">
        <f aca="false">IF(A377="池尻大橋",1,0)</f>
        <v>0</v>
      </c>
      <c r="N377" s="0" t="n">
        <f aca="false">IF(A377="三軒茶屋",1,0)</f>
        <v>0</v>
      </c>
      <c r="O377" s="0" t="n">
        <f aca="false">IF(A377="駒沢大学",1,0)</f>
        <v>0</v>
      </c>
      <c r="P377" s="0" t="n">
        <f aca="false">IF(A377="桜新町",1,0)</f>
        <v>0</v>
      </c>
      <c r="Q377" s="0" t="n">
        <f aca="false">IF(A377="二子玉川",1,0)</f>
        <v>0</v>
      </c>
      <c r="R377" s="0" t="n">
        <f aca="false">IF(E377=2021,1,0)</f>
        <v>0</v>
      </c>
      <c r="S377" s="0" t="n">
        <f aca="false">IF(E377=2022,1,0)</f>
        <v>0</v>
      </c>
      <c r="T377" s="0" t="n">
        <f aca="false">IF(E377=2023,1,0)</f>
        <v>0</v>
      </c>
      <c r="U377" s="0" t="n">
        <f aca="false">IF(E377=2024,1,0)</f>
        <v>0</v>
      </c>
    </row>
    <row r="378" customFormat="false" ht="15" hidden="false" customHeight="false" outlineLevel="0" collapsed="false">
      <c r="A378" s="1" t="s">
        <v>20</v>
      </c>
      <c r="B378" s="0" t="n">
        <v>8</v>
      </c>
      <c r="C378" s="0" t="n">
        <v>100</v>
      </c>
      <c r="D378" s="0" t="n">
        <v>2002</v>
      </c>
      <c r="E378" s="0" t="n">
        <v>2025</v>
      </c>
      <c r="F378" s="1" t="s">
        <v>19</v>
      </c>
      <c r="G378" s="0" t="n">
        <v>120000000</v>
      </c>
      <c r="H378" s="0" t="n">
        <f aca="false">LN(G378/C378)</f>
        <v>13.9978321147582</v>
      </c>
      <c r="I378" s="0" t="n">
        <f aca="false">B378</f>
        <v>8</v>
      </c>
      <c r="J378" s="0" t="n">
        <f aca="false">E378-D378</f>
        <v>23</v>
      </c>
      <c r="K378" s="0" t="n">
        <f aca="false">C378</f>
        <v>100</v>
      </c>
      <c r="L378" s="0" t="n">
        <f aca="false">IF(F378="改装済み",1,0)</f>
        <v>0</v>
      </c>
      <c r="M378" s="0" t="n">
        <f aca="false">IF(A378="池尻大橋",1,0)</f>
        <v>0</v>
      </c>
      <c r="N378" s="0" t="n">
        <f aca="false">IF(A378="三軒茶屋",1,0)</f>
        <v>0</v>
      </c>
      <c r="O378" s="0" t="n">
        <f aca="false">IF(A378="駒沢大学",1,0)</f>
        <v>0</v>
      </c>
      <c r="P378" s="0" t="n">
        <f aca="false">IF(A378="桜新町",1,0)</f>
        <v>0</v>
      </c>
      <c r="Q378" s="0" t="n">
        <f aca="false">IF(A378="二子玉川",1,0)</f>
        <v>0</v>
      </c>
      <c r="R378" s="0" t="n">
        <f aca="false">IF(E378=2021,1,0)</f>
        <v>0</v>
      </c>
      <c r="S378" s="0" t="n">
        <f aca="false">IF(E378=2022,1,0)</f>
        <v>0</v>
      </c>
      <c r="T378" s="0" t="n">
        <f aca="false">IF(E378=2023,1,0)</f>
        <v>0</v>
      </c>
      <c r="U378" s="0" t="n">
        <f aca="false">IF(E378=2024,1,0)</f>
        <v>0</v>
      </c>
    </row>
    <row r="379" customFormat="false" ht="15" hidden="false" customHeight="false" outlineLevel="0" collapsed="false">
      <c r="A379" s="1" t="s">
        <v>20</v>
      </c>
      <c r="B379" s="0" t="n">
        <v>8</v>
      </c>
      <c r="C379" s="0" t="n">
        <v>75</v>
      </c>
      <c r="D379" s="0" t="n">
        <v>2002</v>
      </c>
      <c r="E379" s="0" t="n">
        <v>2024</v>
      </c>
      <c r="F379" s="1" t="s">
        <v>19</v>
      </c>
      <c r="G379" s="0" t="n">
        <v>77000000</v>
      </c>
      <c r="H379" s="0" t="n">
        <f aca="false">LN(G379/C379)</f>
        <v>13.8418278662816</v>
      </c>
      <c r="I379" s="0" t="n">
        <f aca="false">B379</f>
        <v>8</v>
      </c>
      <c r="J379" s="0" t="n">
        <f aca="false">E379-D379</f>
        <v>22</v>
      </c>
      <c r="K379" s="0" t="n">
        <f aca="false">C379</f>
        <v>75</v>
      </c>
      <c r="L379" s="0" t="n">
        <f aca="false">IF(F379="改装済み",1,0)</f>
        <v>0</v>
      </c>
      <c r="M379" s="0" t="n">
        <f aca="false">IF(A379="池尻大橋",1,0)</f>
        <v>0</v>
      </c>
      <c r="N379" s="0" t="n">
        <f aca="false">IF(A379="三軒茶屋",1,0)</f>
        <v>0</v>
      </c>
      <c r="O379" s="0" t="n">
        <f aca="false">IF(A379="駒沢大学",1,0)</f>
        <v>0</v>
      </c>
      <c r="P379" s="0" t="n">
        <f aca="false">IF(A379="桜新町",1,0)</f>
        <v>0</v>
      </c>
      <c r="Q379" s="0" t="n">
        <f aca="false">IF(A379="二子玉川",1,0)</f>
        <v>0</v>
      </c>
      <c r="R379" s="0" t="n">
        <f aca="false">IF(E379=2021,1,0)</f>
        <v>0</v>
      </c>
      <c r="S379" s="0" t="n">
        <f aca="false">IF(E379=2022,1,0)</f>
        <v>0</v>
      </c>
      <c r="T379" s="0" t="n">
        <f aca="false">IF(E379=2023,1,0)</f>
        <v>0</v>
      </c>
      <c r="U379" s="0" t="n">
        <f aca="false">IF(E379=2024,1,0)</f>
        <v>1</v>
      </c>
    </row>
    <row r="380" customFormat="false" ht="15" hidden="false" customHeight="false" outlineLevel="0" collapsed="false">
      <c r="A380" s="1" t="s">
        <v>20</v>
      </c>
      <c r="B380" s="0" t="n">
        <v>3</v>
      </c>
      <c r="C380" s="0" t="n">
        <v>50</v>
      </c>
      <c r="D380" s="0" t="n">
        <v>2021</v>
      </c>
      <c r="E380" s="0" t="n">
        <v>2023</v>
      </c>
      <c r="F380" s="1" t="s">
        <v>19</v>
      </c>
      <c r="G380" s="0" t="n">
        <v>72000000</v>
      </c>
      <c r="H380" s="0" t="n">
        <f aca="false">LN(G380/C380)</f>
        <v>14.1801536715522</v>
      </c>
      <c r="I380" s="0" t="n">
        <f aca="false">B380</f>
        <v>3</v>
      </c>
      <c r="J380" s="0" t="n">
        <f aca="false">E380-D380</f>
        <v>2</v>
      </c>
      <c r="K380" s="0" t="n">
        <f aca="false">C380</f>
        <v>50</v>
      </c>
      <c r="L380" s="0" t="n">
        <f aca="false">IF(F380="改装済み",1,0)</f>
        <v>0</v>
      </c>
      <c r="M380" s="0" t="n">
        <f aca="false">IF(A380="池尻大橋",1,0)</f>
        <v>0</v>
      </c>
      <c r="N380" s="0" t="n">
        <f aca="false">IF(A380="三軒茶屋",1,0)</f>
        <v>0</v>
      </c>
      <c r="O380" s="0" t="n">
        <f aca="false">IF(A380="駒沢大学",1,0)</f>
        <v>0</v>
      </c>
      <c r="P380" s="0" t="n">
        <f aca="false">IF(A380="桜新町",1,0)</f>
        <v>0</v>
      </c>
      <c r="Q380" s="0" t="n">
        <f aca="false">IF(A380="二子玉川",1,0)</f>
        <v>0</v>
      </c>
      <c r="R380" s="0" t="n">
        <f aca="false">IF(E380=2021,1,0)</f>
        <v>0</v>
      </c>
      <c r="S380" s="0" t="n">
        <f aca="false">IF(E380=2022,1,0)</f>
        <v>0</v>
      </c>
      <c r="T380" s="0" t="n">
        <f aca="false">IF(E380=2023,1,0)</f>
        <v>1</v>
      </c>
      <c r="U380" s="0" t="n">
        <f aca="false">IF(E380=2024,1,0)</f>
        <v>0</v>
      </c>
    </row>
    <row r="381" customFormat="false" ht="15" hidden="false" customHeight="false" outlineLevel="0" collapsed="false">
      <c r="A381" s="1" t="s">
        <v>20</v>
      </c>
      <c r="B381" s="0" t="n">
        <v>5</v>
      </c>
      <c r="C381" s="0" t="n">
        <v>60</v>
      </c>
      <c r="D381" s="0" t="n">
        <v>1998</v>
      </c>
      <c r="E381" s="0" t="n">
        <v>2023</v>
      </c>
      <c r="F381" s="1" t="s">
        <v>18</v>
      </c>
      <c r="G381" s="0" t="n">
        <v>60000000</v>
      </c>
      <c r="H381" s="0" t="n">
        <f aca="false">LN(G381/C381)</f>
        <v>13.8155105579643</v>
      </c>
      <c r="I381" s="0" t="n">
        <f aca="false">B381</f>
        <v>5</v>
      </c>
      <c r="J381" s="0" t="n">
        <f aca="false">E381-D381</f>
        <v>25</v>
      </c>
      <c r="K381" s="0" t="n">
        <f aca="false">C381</f>
        <v>60</v>
      </c>
      <c r="L381" s="0" t="n">
        <f aca="false">IF(F381="改装済み",1,0)</f>
        <v>1</v>
      </c>
      <c r="M381" s="0" t="n">
        <f aca="false">IF(A381="池尻大橋",1,0)</f>
        <v>0</v>
      </c>
      <c r="N381" s="0" t="n">
        <f aca="false">IF(A381="三軒茶屋",1,0)</f>
        <v>0</v>
      </c>
      <c r="O381" s="0" t="n">
        <f aca="false">IF(A381="駒沢大学",1,0)</f>
        <v>0</v>
      </c>
      <c r="P381" s="0" t="n">
        <f aca="false">IF(A381="桜新町",1,0)</f>
        <v>0</v>
      </c>
      <c r="Q381" s="0" t="n">
        <f aca="false">IF(A381="二子玉川",1,0)</f>
        <v>0</v>
      </c>
      <c r="R381" s="0" t="n">
        <f aca="false">IF(E381=2021,1,0)</f>
        <v>0</v>
      </c>
      <c r="S381" s="0" t="n">
        <f aca="false">IF(E381=2022,1,0)</f>
        <v>0</v>
      </c>
      <c r="T381" s="0" t="n">
        <f aca="false">IF(E381=2023,1,0)</f>
        <v>1</v>
      </c>
      <c r="U381" s="0" t="n">
        <f aca="false">IF(E381=2024,1,0)</f>
        <v>0</v>
      </c>
    </row>
    <row r="382" customFormat="false" ht="15" hidden="false" customHeight="false" outlineLevel="0" collapsed="false">
      <c r="A382" s="1" t="s">
        <v>20</v>
      </c>
      <c r="B382" s="0" t="n">
        <v>3</v>
      </c>
      <c r="C382" s="0" t="n">
        <v>55</v>
      </c>
      <c r="D382" s="0" t="n">
        <v>2002</v>
      </c>
      <c r="E382" s="0" t="n">
        <v>2023</v>
      </c>
      <c r="F382" s="1" t="s">
        <v>18</v>
      </c>
      <c r="G382" s="0" t="n">
        <v>67000000</v>
      </c>
      <c r="H382" s="0" t="n">
        <f aca="false">LN(G382/C382)</f>
        <v>14.0128699921228</v>
      </c>
      <c r="I382" s="0" t="n">
        <f aca="false">B382</f>
        <v>3</v>
      </c>
      <c r="J382" s="0" t="n">
        <f aca="false">E382-D382</f>
        <v>21</v>
      </c>
      <c r="K382" s="0" t="n">
        <f aca="false">C382</f>
        <v>55</v>
      </c>
      <c r="L382" s="0" t="n">
        <f aca="false">IF(F382="改装済み",1,0)</f>
        <v>1</v>
      </c>
      <c r="M382" s="0" t="n">
        <f aca="false">IF(A382="池尻大橋",1,0)</f>
        <v>0</v>
      </c>
      <c r="N382" s="0" t="n">
        <f aca="false">IF(A382="三軒茶屋",1,0)</f>
        <v>0</v>
      </c>
      <c r="O382" s="0" t="n">
        <f aca="false">IF(A382="駒沢大学",1,0)</f>
        <v>0</v>
      </c>
      <c r="P382" s="0" t="n">
        <f aca="false">IF(A382="桜新町",1,0)</f>
        <v>0</v>
      </c>
      <c r="Q382" s="0" t="n">
        <f aca="false">IF(A382="二子玉川",1,0)</f>
        <v>0</v>
      </c>
      <c r="R382" s="0" t="n">
        <f aca="false">IF(E382=2021,1,0)</f>
        <v>0</v>
      </c>
      <c r="S382" s="0" t="n">
        <f aca="false">IF(E382=2022,1,0)</f>
        <v>0</v>
      </c>
      <c r="T382" s="0" t="n">
        <f aca="false">IF(E382=2023,1,0)</f>
        <v>1</v>
      </c>
      <c r="U382" s="0" t="n">
        <f aca="false">IF(E382=2024,1,0)</f>
        <v>0</v>
      </c>
    </row>
    <row r="383" customFormat="false" ht="15" hidden="false" customHeight="false" outlineLevel="0" collapsed="false">
      <c r="A383" s="1" t="s">
        <v>20</v>
      </c>
      <c r="B383" s="0" t="n">
        <v>3</v>
      </c>
      <c r="C383" s="0" t="n">
        <v>70</v>
      </c>
      <c r="D383" s="0" t="n">
        <v>2008</v>
      </c>
      <c r="E383" s="0" t="n">
        <v>2022</v>
      </c>
      <c r="F383" s="1" t="s">
        <v>19</v>
      </c>
      <c r="G383" s="0" t="n">
        <v>90000000</v>
      </c>
      <c r="H383" s="0" t="n">
        <f aca="false">LN(G383/C383)</f>
        <v>14.0668249862452</v>
      </c>
      <c r="I383" s="0" t="n">
        <f aca="false">B383</f>
        <v>3</v>
      </c>
      <c r="J383" s="0" t="n">
        <f aca="false">E383-D383</f>
        <v>14</v>
      </c>
      <c r="K383" s="0" t="n">
        <f aca="false">C383</f>
        <v>70</v>
      </c>
      <c r="L383" s="0" t="n">
        <f aca="false">IF(F383="改装済み",1,0)</f>
        <v>0</v>
      </c>
      <c r="M383" s="0" t="n">
        <f aca="false">IF(A383="池尻大橋",1,0)</f>
        <v>0</v>
      </c>
      <c r="N383" s="0" t="n">
        <f aca="false">IF(A383="三軒茶屋",1,0)</f>
        <v>0</v>
      </c>
      <c r="O383" s="0" t="n">
        <f aca="false">IF(A383="駒沢大学",1,0)</f>
        <v>0</v>
      </c>
      <c r="P383" s="0" t="n">
        <f aca="false">IF(A383="桜新町",1,0)</f>
        <v>0</v>
      </c>
      <c r="Q383" s="0" t="n">
        <f aca="false">IF(A383="二子玉川",1,0)</f>
        <v>0</v>
      </c>
      <c r="R383" s="0" t="n">
        <f aca="false">IF(E383=2021,1,0)</f>
        <v>0</v>
      </c>
      <c r="S383" s="0" t="n">
        <f aca="false">IF(E383=2022,1,0)</f>
        <v>1</v>
      </c>
      <c r="T383" s="0" t="n">
        <f aca="false">IF(E383=2023,1,0)</f>
        <v>0</v>
      </c>
      <c r="U383" s="0" t="n">
        <f aca="false">IF(E383=2024,1,0)</f>
        <v>0</v>
      </c>
    </row>
    <row r="384" customFormat="false" ht="15" hidden="false" customHeight="false" outlineLevel="0" collapsed="false">
      <c r="A384" s="1" t="s">
        <v>20</v>
      </c>
      <c r="B384" s="0" t="n">
        <v>3</v>
      </c>
      <c r="C384" s="0" t="n">
        <v>70</v>
      </c>
      <c r="D384" s="0" t="n">
        <v>2008</v>
      </c>
      <c r="E384" s="0" t="n">
        <v>2022</v>
      </c>
      <c r="F384" s="1" t="s">
        <v>19</v>
      </c>
      <c r="G384" s="0" t="n">
        <v>89000000</v>
      </c>
      <c r="H384" s="0" t="n">
        <f aca="false">LN(G384/C384)</f>
        <v>14.0556516856471</v>
      </c>
      <c r="I384" s="0" t="n">
        <f aca="false">B384</f>
        <v>3</v>
      </c>
      <c r="J384" s="0" t="n">
        <f aca="false">E384-D384</f>
        <v>14</v>
      </c>
      <c r="K384" s="0" t="n">
        <f aca="false">C384</f>
        <v>70</v>
      </c>
      <c r="L384" s="0" t="n">
        <f aca="false">IF(F384="改装済み",1,0)</f>
        <v>0</v>
      </c>
      <c r="M384" s="0" t="n">
        <f aca="false">IF(A384="池尻大橋",1,0)</f>
        <v>0</v>
      </c>
      <c r="N384" s="0" t="n">
        <f aca="false">IF(A384="三軒茶屋",1,0)</f>
        <v>0</v>
      </c>
      <c r="O384" s="0" t="n">
        <f aca="false">IF(A384="駒沢大学",1,0)</f>
        <v>0</v>
      </c>
      <c r="P384" s="0" t="n">
        <f aca="false">IF(A384="桜新町",1,0)</f>
        <v>0</v>
      </c>
      <c r="Q384" s="0" t="n">
        <f aca="false">IF(A384="二子玉川",1,0)</f>
        <v>0</v>
      </c>
      <c r="R384" s="0" t="n">
        <f aca="false">IF(E384=2021,1,0)</f>
        <v>0</v>
      </c>
      <c r="S384" s="0" t="n">
        <f aca="false">IF(E384=2022,1,0)</f>
        <v>1</v>
      </c>
      <c r="T384" s="0" t="n">
        <f aca="false">IF(E384=2023,1,0)</f>
        <v>0</v>
      </c>
      <c r="U384" s="0" t="n">
        <f aca="false">IF(E384=2024,1,0)</f>
        <v>0</v>
      </c>
    </row>
    <row r="385" customFormat="false" ht="15" hidden="false" customHeight="false" outlineLevel="0" collapsed="false">
      <c r="A385" s="1" t="s">
        <v>20</v>
      </c>
      <c r="B385" s="0" t="n">
        <v>3</v>
      </c>
      <c r="C385" s="0" t="n">
        <v>75</v>
      </c>
      <c r="D385" s="0" t="n">
        <v>2002</v>
      </c>
      <c r="E385" s="0" t="n">
        <v>2021</v>
      </c>
      <c r="F385" s="1" t="s">
        <v>19</v>
      </c>
      <c r="G385" s="0" t="n">
        <v>80000000</v>
      </c>
      <c r="H385" s="0" t="n">
        <f aca="false">LN(G385/C385)</f>
        <v>13.8800490791018</v>
      </c>
      <c r="I385" s="0" t="n">
        <f aca="false">B385</f>
        <v>3</v>
      </c>
      <c r="J385" s="0" t="n">
        <f aca="false">E385-D385</f>
        <v>19</v>
      </c>
      <c r="K385" s="0" t="n">
        <f aca="false">C385</f>
        <v>75</v>
      </c>
      <c r="L385" s="0" t="n">
        <f aca="false">IF(F385="改装済み",1,0)</f>
        <v>0</v>
      </c>
      <c r="M385" s="0" t="n">
        <f aca="false">IF(A385="池尻大橋",1,0)</f>
        <v>0</v>
      </c>
      <c r="N385" s="0" t="n">
        <f aca="false">IF(A385="三軒茶屋",1,0)</f>
        <v>0</v>
      </c>
      <c r="O385" s="0" t="n">
        <f aca="false">IF(A385="駒沢大学",1,0)</f>
        <v>0</v>
      </c>
      <c r="P385" s="0" t="n">
        <f aca="false">IF(A385="桜新町",1,0)</f>
        <v>0</v>
      </c>
      <c r="Q385" s="0" t="n">
        <f aca="false">IF(A385="二子玉川",1,0)</f>
        <v>0</v>
      </c>
      <c r="R385" s="0" t="n">
        <f aca="false">IF(E385=2021,1,0)</f>
        <v>1</v>
      </c>
      <c r="S385" s="0" t="n">
        <f aca="false">IF(E385=2022,1,0)</f>
        <v>0</v>
      </c>
      <c r="T385" s="0" t="n">
        <f aca="false">IF(E385=2023,1,0)</f>
        <v>0</v>
      </c>
      <c r="U385" s="0" t="n">
        <f aca="false">IF(E385=2024,1,0)</f>
        <v>0</v>
      </c>
    </row>
    <row r="386" customFormat="false" ht="15" hidden="false" customHeight="false" outlineLevel="0" collapsed="false">
      <c r="A386" s="1" t="s">
        <v>20</v>
      </c>
      <c r="B386" s="0" t="n">
        <v>2</v>
      </c>
      <c r="C386" s="0" t="n">
        <v>55</v>
      </c>
      <c r="D386" s="0" t="n">
        <v>2002</v>
      </c>
      <c r="E386" s="0" t="n">
        <v>2021</v>
      </c>
      <c r="F386" s="1" t="s">
        <v>19</v>
      </c>
      <c r="G386" s="0" t="n">
        <v>48000000</v>
      </c>
      <c r="H386" s="0" t="n">
        <f aca="false">LN(G386/C386)</f>
        <v>13.6793783836397</v>
      </c>
      <c r="I386" s="0" t="n">
        <f aca="false">B386</f>
        <v>2</v>
      </c>
      <c r="J386" s="0" t="n">
        <f aca="false">E386-D386</f>
        <v>19</v>
      </c>
      <c r="K386" s="0" t="n">
        <f aca="false">C386</f>
        <v>55</v>
      </c>
      <c r="L386" s="0" t="n">
        <f aca="false">IF(F386="改装済み",1,0)</f>
        <v>0</v>
      </c>
      <c r="M386" s="0" t="n">
        <f aca="false">IF(A386="池尻大橋",1,0)</f>
        <v>0</v>
      </c>
      <c r="N386" s="0" t="n">
        <f aca="false">IF(A386="三軒茶屋",1,0)</f>
        <v>0</v>
      </c>
      <c r="O386" s="0" t="n">
        <f aca="false">IF(A386="駒沢大学",1,0)</f>
        <v>0</v>
      </c>
      <c r="P386" s="0" t="n">
        <f aca="false">IF(A386="桜新町",1,0)</f>
        <v>0</v>
      </c>
      <c r="Q386" s="0" t="n">
        <f aca="false">IF(A386="二子玉川",1,0)</f>
        <v>0</v>
      </c>
      <c r="R386" s="0" t="n">
        <f aca="false">IF(E386=2021,1,0)</f>
        <v>1</v>
      </c>
      <c r="S386" s="0" t="n">
        <f aca="false">IF(E386=2022,1,0)</f>
        <v>0</v>
      </c>
      <c r="T386" s="0" t="n">
        <f aca="false">IF(E386=2023,1,0)</f>
        <v>0</v>
      </c>
      <c r="U386" s="0" t="n">
        <f aca="false">IF(E386=2024,1,0)</f>
        <v>0</v>
      </c>
    </row>
    <row r="387" customFormat="false" ht="15" hidden="false" customHeight="false" outlineLevel="0" collapsed="false">
      <c r="A387" s="1" t="s">
        <v>20</v>
      </c>
      <c r="B387" s="0" t="n">
        <v>8</v>
      </c>
      <c r="C387" s="0" t="n">
        <v>85</v>
      </c>
      <c r="D387" s="0" t="n">
        <v>2002</v>
      </c>
      <c r="E387" s="0" t="n">
        <v>2021</v>
      </c>
      <c r="F387" s="1" t="s">
        <v>19</v>
      </c>
      <c r="G387" s="0" t="n">
        <v>77000000</v>
      </c>
      <c r="H387" s="0" t="n">
        <f aca="false">LN(G387/C387)</f>
        <v>13.7166647233276</v>
      </c>
      <c r="I387" s="0" t="n">
        <f aca="false">B387</f>
        <v>8</v>
      </c>
      <c r="J387" s="0" t="n">
        <f aca="false">E387-D387</f>
        <v>19</v>
      </c>
      <c r="K387" s="0" t="n">
        <f aca="false">C387</f>
        <v>85</v>
      </c>
      <c r="L387" s="0" t="n">
        <f aca="false">IF(F387="改装済み",1,0)</f>
        <v>0</v>
      </c>
      <c r="M387" s="0" t="n">
        <f aca="false">IF(A387="池尻大橋",1,0)</f>
        <v>0</v>
      </c>
      <c r="N387" s="0" t="n">
        <f aca="false">IF(A387="三軒茶屋",1,0)</f>
        <v>0</v>
      </c>
      <c r="O387" s="0" t="n">
        <f aca="false">IF(A387="駒沢大学",1,0)</f>
        <v>0</v>
      </c>
      <c r="P387" s="0" t="n">
        <f aca="false">IF(A387="桜新町",1,0)</f>
        <v>0</v>
      </c>
      <c r="Q387" s="0" t="n">
        <f aca="false">IF(A387="二子玉川",1,0)</f>
        <v>0</v>
      </c>
      <c r="R387" s="0" t="n">
        <f aca="false">IF(E387=2021,1,0)</f>
        <v>1</v>
      </c>
      <c r="S387" s="0" t="n">
        <f aca="false">IF(E387=2022,1,0)</f>
        <v>0</v>
      </c>
      <c r="T387" s="0" t="n">
        <f aca="false">IF(E387=2023,1,0)</f>
        <v>0</v>
      </c>
      <c r="U387" s="0" t="n">
        <f aca="false">IF(E387=2024,1,0)</f>
        <v>0</v>
      </c>
    </row>
    <row r="388" customFormat="false" ht="15" hidden="false" customHeight="false" outlineLevel="0" collapsed="false">
      <c r="A388" s="1" t="s">
        <v>20</v>
      </c>
      <c r="B388" s="0" t="n">
        <v>5</v>
      </c>
      <c r="C388" s="0" t="n">
        <v>75</v>
      </c>
      <c r="D388" s="0" t="n">
        <v>1999</v>
      </c>
      <c r="E388" s="0" t="n">
        <v>2021</v>
      </c>
      <c r="F388" s="1" t="s">
        <v>18</v>
      </c>
      <c r="G388" s="0" t="n">
        <v>73000000</v>
      </c>
      <c r="H388" s="0" t="n">
        <f aca="false">LN(G388/C388)</f>
        <v>13.7884818855764</v>
      </c>
      <c r="I388" s="0" t="n">
        <f aca="false">B388</f>
        <v>5</v>
      </c>
      <c r="J388" s="0" t="n">
        <f aca="false">E388-D388</f>
        <v>22</v>
      </c>
      <c r="K388" s="0" t="n">
        <f aca="false">C388</f>
        <v>75</v>
      </c>
      <c r="L388" s="0" t="n">
        <f aca="false">IF(F388="改装済み",1,0)</f>
        <v>1</v>
      </c>
      <c r="M388" s="0" t="n">
        <f aca="false">IF(A388="池尻大橋",1,0)</f>
        <v>0</v>
      </c>
      <c r="N388" s="0" t="n">
        <f aca="false">IF(A388="三軒茶屋",1,0)</f>
        <v>0</v>
      </c>
      <c r="O388" s="0" t="n">
        <f aca="false">IF(A388="駒沢大学",1,0)</f>
        <v>0</v>
      </c>
      <c r="P388" s="0" t="n">
        <f aca="false">IF(A388="桜新町",1,0)</f>
        <v>0</v>
      </c>
      <c r="Q388" s="0" t="n">
        <f aca="false">IF(A388="二子玉川",1,0)</f>
        <v>0</v>
      </c>
      <c r="R388" s="0" t="n">
        <f aca="false">IF(E388=2021,1,0)</f>
        <v>1</v>
      </c>
      <c r="S388" s="0" t="n">
        <f aca="false">IF(E388=2022,1,0)</f>
        <v>0</v>
      </c>
      <c r="T388" s="0" t="n">
        <f aca="false">IF(E388=2023,1,0)</f>
        <v>0</v>
      </c>
      <c r="U388" s="0" t="n">
        <f aca="false">IF(E388=2024,1,0)</f>
        <v>0</v>
      </c>
    </row>
    <row r="389" customFormat="false" ht="15" hidden="false" customHeight="false" outlineLevel="0" collapsed="false">
      <c r="A389" s="1" t="s">
        <v>20</v>
      </c>
      <c r="B389" s="0" t="n">
        <v>8</v>
      </c>
      <c r="C389" s="0" t="n">
        <v>85</v>
      </c>
      <c r="D389" s="0" t="n">
        <v>2007</v>
      </c>
      <c r="E389" s="0" t="n">
        <v>2021</v>
      </c>
      <c r="F389" s="1" t="s">
        <v>19</v>
      </c>
      <c r="G389" s="0" t="n">
        <v>86000000</v>
      </c>
      <c r="H389" s="0" t="n">
        <f aca="false">LN(G389/C389)</f>
        <v>13.8272065977275</v>
      </c>
      <c r="I389" s="0" t="n">
        <f aca="false">B389</f>
        <v>8</v>
      </c>
      <c r="J389" s="0" t="n">
        <f aca="false">E389-D389</f>
        <v>14</v>
      </c>
      <c r="K389" s="0" t="n">
        <f aca="false">C389</f>
        <v>85</v>
      </c>
      <c r="L389" s="0" t="n">
        <f aca="false">IF(F389="改装済み",1,0)</f>
        <v>0</v>
      </c>
      <c r="M389" s="0" t="n">
        <f aca="false">IF(A389="池尻大橋",1,0)</f>
        <v>0</v>
      </c>
      <c r="N389" s="0" t="n">
        <f aca="false">IF(A389="三軒茶屋",1,0)</f>
        <v>0</v>
      </c>
      <c r="O389" s="0" t="n">
        <f aca="false">IF(A389="駒沢大学",1,0)</f>
        <v>0</v>
      </c>
      <c r="P389" s="0" t="n">
        <f aca="false">IF(A389="桜新町",1,0)</f>
        <v>0</v>
      </c>
      <c r="Q389" s="0" t="n">
        <f aca="false">IF(A389="二子玉川",1,0)</f>
        <v>0</v>
      </c>
      <c r="R389" s="0" t="n">
        <f aca="false">IF(E389=2021,1,0)</f>
        <v>1</v>
      </c>
      <c r="S389" s="0" t="n">
        <f aca="false">IF(E389=2022,1,0)</f>
        <v>0</v>
      </c>
      <c r="T389" s="0" t="n">
        <f aca="false">IF(E389=2023,1,0)</f>
        <v>0</v>
      </c>
      <c r="U389" s="0" t="n">
        <f aca="false">IF(E389=2024,1,0)</f>
        <v>0</v>
      </c>
    </row>
    <row r="390" customFormat="false" ht="15" hidden="false" customHeight="false" outlineLevel="0" collapsed="false">
      <c r="A390" s="1" t="s">
        <v>11</v>
      </c>
      <c r="B390" s="0" t="n">
        <v>13</v>
      </c>
      <c r="C390" s="0" t="n">
        <v>55</v>
      </c>
      <c r="D390" s="0" t="n">
        <v>1977</v>
      </c>
      <c r="E390" s="0" t="n">
        <v>2025</v>
      </c>
      <c r="F390" s="1" t="s">
        <v>18</v>
      </c>
      <c r="G390" s="0" t="n">
        <v>60000000</v>
      </c>
      <c r="H390" s="0" t="n">
        <f aca="false">LN(G390/C390)</f>
        <v>13.9025219349539</v>
      </c>
      <c r="I390" s="0" t="n">
        <f aca="false">B390</f>
        <v>13</v>
      </c>
      <c r="J390" s="0" t="n">
        <f aca="false">E390-D390</f>
        <v>48</v>
      </c>
      <c r="K390" s="0" t="n">
        <f aca="false">C390</f>
        <v>55</v>
      </c>
      <c r="L390" s="0" t="n">
        <f aca="false">IF(F390="改装済み",1,0)</f>
        <v>1</v>
      </c>
      <c r="M390" s="0" t="n">
        <f aca="false">IF(A390="池尻大橋",1,0)</f>
        <v>0</v>
      </c>
      <c r="N390" s="0" t="n">
        <f aca="false">IF(A390="三軒茶屋",1,0)</f>
        <v>0</v>
      </c>
      <c r="O390" s="0" t="n">
        <f aca="false">IF(A390="駒沢大学",1,0)</f>
        <v>1</v>
      </c>
      <c r="P390" s="0" t="n">
        <f aca="false">IF(A390="桜新町",1,0)</f>
        <v>0</v>
      </c>
      <c r="Q390" s="0" t="n">
        <f aca="false">IF(A390="二子玉川",1,0)</f>
        <v>0</v>
      </c>
      <c r="R390" s="0" t="n">
        <f aca="false">IF(E390=2021,1,0)</f>
        <v>0</v>
      </c>
      <c r="S390" s="0" t="n">
        <f aca="false">IF(E390=2022,1,0)</f>
        <v>0</v>
      </c>
      <c r="T390" s="0" t="n">
        <f aca="false">IF(E390=2023,1,0)</f>
        <v>0</v>
      </c>
      <c r="U390" s="0" t="n">
        <f aca="false">IF(E390=2024,1,0)</f>
        <v>0</v>
      </c>
    </row>
    <row r="391" customFormat="false" ht="15" hidden="false" customHeight="false" outlineLevel="0" collapsed="false">
      <c r="A391" s="1" t="s">
        <v>11</v>
      </c>
      <c r="B391" s="0" t="n">
        <v>11</v>
      </c>
      <c r="C391" s="0" t="n">
        <v>60</v>
      </c>
      <c r="D391" s="0" t="n">
        <v>2000</v>
      </c>
      <c r="E391" s="0" t="n">
        <v>2024</v>
      </c>
      <c r="F391" s="1" t="s">
        <v>19</v>
      </c>
      <c r="G391" s="0" t="n">
        <v>75000000</v>
      </c>
      <c r="H391" s="0" t="n">
        <f aca="false">LN(G391/C391)</f>
        <v>14.0386541092785</v>
      </c>
      <c r="I391" s="0" t="n">
        <f aca="false">B391</f>
        <v>11</v>
      </c>
      <c r="J391" s="0" t="n">
        <f aca="false">E391-D391</f>
        <v>24</v>
      </c>
      <c r="K391" s="0" t="n">
        <f aca="false">C391</f>
        <v>60</v>
      </c>
      <c r="L391" s="0" t="n">
        <f aca="false">IF(F391="改装済み",1,0)</f>
        <v>0</v>
      </c>
      <c r="M391" s="0" t="n">
        <f aca="false">IF(A391="池尻大橋",1,0)</f>
        <v>0</v>
      </c>
      <c r="N391" s="0" t="n">
        <f aca="false">IF(A391="三軒茶屋",1,0)</f>
        <v>0</v>
      </c>
      <c r="O391" s="0" t="n">
        <f aca="false">IF(A391="駒沢大学",1,0)</f>
        <v>1</v>
      </c>
      <c r="P391" s="0" t="n">
        <f aca="false">IF(A391="桜新町",1,0)</f>
        <v>0</v>
      </c>
      <c r="Q391" s="0" t="n">
        <f aca="false">IF(A391="二子玉川",1,0)</f>
        <v>0</v>
      </c>
      <c r="R391" s="0" t="n">
        <f aca="false">IF(E391=2021,1,0)</f>
        <v>0</v>
      </c>
      <c r="S391" s="0" t="n">
        <f aca="false">IF(E391=2022,1,0)</f>
        <v>0</v>
      </c>
      <c r="T391" s="0" t="n">
        <f aca="false">IF(E391=2023,1,0)</f>
        <v>0</v>
      </c>
      <c r="U391" s="0" t="n">
        <f aca="false">IF(E391=2024,1,0)</f>
        <v>1</v>
      </c>
    </row>
    <row r="392" customFormat="false" ht="15" hidden="false" customHeight="false" outlineLevel="0" collapsed="false">
      <c r="A392" s="1" t="s">
        <v>11</v>
      </c>
      <c r="B392" s="0" t="n">
        <v>11</v>
      </c>
      <c r="C392" s="0" t="n">
        <v>90</v>
      </c>
      <c r="D392" s="0" t="n">
        <v>2004</v>
      </c>
      <c r="E392" s="0" t="n">
        <v>2023</v>
      </c>
      <c r="F392" s="1" t="s">
        <v>19</v>
      </c>
      <c r="G392" s="0" t="n">
        <v>98000000</v>
      </c>
      <c r="H392" s="0" t="n">
        <f aca="false">LN(G392/C392)</f>
        <v>13.9006683663046</v>
      </c>
      <c r="I392" s="0" t="n">
        <f aca="false">B392</f>
        <v>11</v>
      </c>
      <c r="J392" s="0" t="n">
        <f aca="false">E392-D392</f>
        <v>19</v>
      </c>
      <c r="K392" s="0" t="n">
        <f aca="false">C392</f>
        <v>90</v>
      </c>
      <c r="L392" s="0" t="n">
        <f aca="false">IF(F392="改装済み",1,0)</f>
        <v>0</v>
      </c>
      <c r="M392" s="0" t="n">
        <f aca="false">IF(A392="池尻大橋",1,0)</f>
        <v>0</v>
      </c>
      <c r="N392" s="0" t="n">
        <f aca="false">IF(A392="三軒茶屋",1,0)</f>
        <v>0</v>
      </c>
      <c r="O392" s="0" t="n">
        <f aca="false">IF(A392="駒沢大学",1,0)</f>
        <v>1</v>
      </c>
      <c r="P392" s="0" t="n">
        <f aca="false">IF(A392="桜新町",1,0)</f>
        <v>0</v>
      </c>
      <c r="Q392" s="0" t="n">
        <f aca="false">IF(A392="二子玉川",1,0)</f>
        <v>0</v>
      </c>
      <c r="R392" s="0" t="n">
        <f aca="false">IF(E392=2021,1,0)</f>
        <v>0</v>
      </c>
      <c r="S392" s="0" t="n">
        <f aca="false">IF(E392=2022,1,0)</f>
        <v>0</v>
      </c>
      <c r="T392" s="0" t="n">
        <f aca="false">IF(E392=2023,1,0)</f>
        <v>1</v>
      </c>
      <c r="U392" s="0" t="n">
        <f aca="false">IF(E392=2024,1,0)</f>
        <v>0</v>
      </c>
    </row>
    <row r="393" customFormat="false" ht="15" hidden="false" customHeight="false" outlineLevel="0" collapsed="false">
      <c r="A393" s="1" t="s">
        <v>11</v>
      </c>
      <c r="B393" s="0" t="n">
        <v>11</v>
      </c>
      <c r="C393" s="0" t="n">
        <v>70</v>
      </c>
      <c r="D393" s="0" t="n">
        <v>2000</v>
      </c>
      <c r="E393" s="0" t="n">
        <v>2022</v>
      </c>
      <c r="F393" s="1" t="s">
        <v>19</v>
      </c>
      <c r="G393" s="0" t="n">
        <v>67000000</v>
      </c>
      <c r="H393" s="0" t="n">
        <f aca="false">LN(G393/C393)</f>
        <v>13.7717079353059</v>
      </c>
      <c r="I393" s="0" t="n">
        <f aca="false">B393</f>
        <v>11</v>
      </c>
      <c r="J393" s="0" t="n">
        <f aca="false">E393-D393</f>
        <v>22</v>
      </c>
      <c r="K393" s="0" t="n">
        <f aca="false">C393</f>
        <v>70</v>
      </c>
      <c r="L393" s="0" t="n">
        <f aca="false">IF(F393="改装済み",1,0)</f>
        <v>0</v>
      </c>
      <c r="M393" s="0" t="n">
        <f aca="false">IF(A393="池尻大橋",1,0)</f>
        <v>0</v>
      </c>
      <c r="N393" s="0" t="n">
        <f aca="false">IF(A393="三軒茶屋",1,0)</f>
        <v>0</v>
      </c>
      <c r="O393" s="0" t="n">
        <f aca="false">IF(A393="駒沢大学",1,0)</f>
        <v>1</v>
      </c>
      <c r="P393" s="0" t="n">
        <f aca="false">IF(A393="桜新町",1,0)</f>
        <v>0</v>
      </c>
      <c r="Q393" s="0" t="n">
        <f aca="false">IF(A393="二子玉川",1,0)</f>
        <v>0</v>
      </c>
      <c r="R393" s="0" t="n">
        <f aca="false">IF(E393=2021,1,0)</f>
        <v>0</v>
      </c>
      <c r="S393" s="0" t="n">
        <f aca="false">IF(E393=2022,1,0)</f>
        <v>1</v>
      </c>
      <c r="T393" s="0" t="n">
        <f aca="false">IF(E393=2023,1,0)</f>
        <v>0</v>
      </c>
      <c r="U393" s="0" t="n">
        <f aca="false">IF(E393=2024,1,0)</f>
        <v>0</v>
      </c>
    </row>
    <row r="394" customFormat="false" ht="15" hidden="false" customHeight="false" outlineLevel="0" collapsed="false">
      <c r="A394" s="1" t="s">
        <v>12</v>
      </c>
      <c r="B394" s="0" t="n">
        <v>11</v>
      </c>
      <c r="C394" s="0" t="n">
        <v>115</v>
      </c>
      <c r="D394" s="0" t="n">
        <v>2000</v>
      </c>
      <c r="E394" s="0" t="n">
        <v>2025</v>
      </c>
      <c r="F394" s="1" t="s">
        <v>19</v>
      </c>
      <c r="G394" s="0" t="n">
        <v>180000000</v>
      </c>
      <c r="H394" s="0" t="n">
        <f aca="false">LN(G394/C394)</f>
        <v>14.2635352804912</v>
      </c>
      <c r="I394" s="0" t="n">
        <f aca="false">B394</f>
        <v>11</v>
      </c>
      <c r="J394" s="0" t="n">
        <f aca="false">E394-D394</f>
        <v>25</v>
      </c>
      <c r="K394" s="0" t="n">
        <f aca="false">C394</f>
        <v>115</v>
      </c>
      <c r="L394" s="0" t="n">
        <f aca="false">IF(F394="改装済み",1,0)</f>
        <v>0</v>
      </c>
      <c r="M394" s="0" t="n">
        <f aca="false">IF(A394="池尻大橋",1,0)</f>
        <v>0</v>
      </c>
      <c r="N394" s="0" t="n">
        <f aca="false">IF(A394="三軒茶屋",1,0)</f>
        <v>0</v>
      </c>
      <c r="O394" s="0" t="n">
        <f aca="false">IF(A394="駒沢大学",1,0)</f>
        <v>0</v>
      </c>
      <c r="P394" s="0" t="n">
        <f aca="false">IF(A394="桜新町",1,0)</f>
        <v>1</v>
      </c>
      <c r="Q394" s="0" t="n">
        <f aca="false">IF(A394="二子玉川",1,0)</f>
        <v>0</v>
      </c>
      <c r="R394" s="0" t="n">
        <f aca="false">IF(E394=2021,1,0)</f>
        <v>0</v>
      </c>
      <c r="S394" s="0" t="n">
        <f aca="false">IF(E394=2022,1,0)</f>
        <v>0</v>
      </c>
      <c r="T394" s="0" t="n">
        <f aca="false">IF(E394=2023,1,0)</f>
        <v>0</v>
      </c>
      <c r="U394" s="0" t="n">
        <f aca="false">IF(E394=2024,1,0)</f>
        <v>0</v>
      </c>
    </row>
    <row r="395" customFormat="false" ht="15" hidden="false" customHeight="false" outlineLevel="0" collapsed="false">
      <c r="A395" s="1" t="s">
        <v>12</v>
      </c>
      <c r="B395" s="0" t="n">
        <v>11</v>
      </c>
      <c r="C395" s="0" t="n">
        <v>60</v>
      </c>
      <c r="D395" s="0" t="n">
        <v>2013</v>
      </c>
      <c r="E395" s="0" t="n">
        <v>2025</v>
      </c>
      <c r="F395" s="1" t="s">
        <v>19</v>
      </c>
      <c r="G395" s="0" t="n">
        <v>90000000</v>
      </c>
      <c r="H395" s="0" t="n">
        <f aca="false">LN(G395/C395)</f>
        <v>14.2209756660724</v>
      </c>
      <c r="I395" s="0" t="n">
        <f aca="false">B395</f>
        <v>11</v>
      </c>
      <c r="J395" s="0" t="n">
        <f aca="false">E395-D395</f>
        <v>12</v>
      </c>
      <c r="K395" s="0" t="n">
        <f aca="false">C395</f>
        <v>60</v>
      </c>
      <c r="L395" s="0" t="n">
        <f aca="false">IF(F395="改装済み",1,0)</f>
        <v>0</v>
      </c>
      <c r="M395" s="0" t="n">
        <f aca="false">IF(A395="池尻大橋",1,0)</f>
        <v>0</v>
      </c>
      <c r="N395" s="0" t="n">
        <f aca="false">IF(A395="三軒茶屋",1,0)</f>
        <v>0</v>
      </c>
      <c r="O395" s="0" t="n">
        <f aca="false">IF(A395="駒沢大学",1,0)</f>
        <v>0</v>
      </c>
      <c r="P395" s="0" t="n">
        <f aca="false">IF(A395="桜新町",1,0)</f>
        <v>1</v>
      </c>
      <c r="Q395" s="0" t="n">
        <f aca="false">IF(A395="二子玉川",1,0)</f>
        <v>0</v>
      </c>
      <c r="R395" s="0" t="n">
        <f aca="false">IF(E395=2021,1,0)</f>
        <v>0</v>
      </c>
      <c r="S395" s="0" t="n">
        <f aca="false">IF(E395=2022,1,0)</f>
        <v>0</v>
      </c>
      <c r="T395" s="0" t="n">
        <f aca="false">IF(E395=2023,1,0)</f>
        <v>0</v>
      </c>
      <c r="U395" s="0" t="n">
        <f aca="false">IF(E395=2024,1,0)</f>
        <v>0</v>
      </c>
    </row>
    <row r="396" customFormat="false" ht="15" hidden="false" customHeight="false" outlineLevel="0" collapsed="false">
      <c r="A396" s="1" t="s">
        <v>12</v>
      </c>
      <c r="B396" s="0" t="n">
        <v>10</v>
      </c>
      <c r="C396" s="0" t="n">
        <v>75</v>
      </c>
      <c r="D396" s="0" t="n">
        <v>2016</v>
      </c>
      <c r="E396" s="0" t="n">
        <v>2025</v>
      </c>
      <c r="F396" s="1" t="s">
        <v>19</v>
      </c>
      <c r="G396" s="0" t="n">
        <v>150000000</v>
      </c>
      <c r="H396" s="0" t="n">
        <f aca="false">LN(G396/C396)</f>
        <v>14.5086577385242</v>
      </c>
      <c r="I396" s="0" t="n">
        <f aca="false">B396</f>
        <v>10</v>
      </c>
      <c r="J396" s="0" t="n">
        <f aca="false">E396-D396</f>
        <v>9</v>
      </c>
      <c r="K396" s="0" t="n">
        <f aca="false">C396</f>
        <v>75</v>
      </c>
      <c r="L396" s="0" t="n">
        <f aca="false">IF(F396="改装済み",1,0)</f>
        <v>0</v>
      </c>
      <c r="M396" s="0" t="n">
        <f aca="false">IF(A396="池尻大橋",1,0)</f>
        <v>0</v>
      </c>
      <c r="N396" s="0" t="n">
        <f aca="false">IF(A396="三軒茶屋",1,0)</f>
        <v>0</v>
      </c>
      <c r="O396" s="0" t="n">
        <f aca="false">IF(A396="駒沢大学",1,0)</f>
        <v>0</v>
      </c>
      <c r="P396" s="0" t="n">
        <f aca="false">IF(A396="桜新町",1,0)</f>
        <v>1</v>
      </c>
      <c r="Q396" s="0" t="n">
        <f aca="false">IF(A396="二子玉川",1,0)</f>
        <v>0</v>
      </c>
      <c r="R396" s="0" t="n">
        <f aca="false">IF(E396=2021,1,0)</f>
        <v>0</v>
      </c>
      <c r="S396" s="0" t="n">
        <f aca="false">IF(E396=2022,1,0)</f>
        <v>0</v>
      </c>
      <c r="T396" s="0" t="n">
        <f aca="false">IF(E396=2023,1,0)</f>
        <v>0</v>
      </c>
      <c r="U396" s="0" t="n">
        <f aca="false">IF(E396=2024,1,0)</f>
        <v>0</v>
      </c>
    </row>
    <row r="397" customFormat="false" ht="15" hidden="false" customHeight="false" outlineLevel="0" collapsed="false">
      <c r="A397" s="1" t="s">
        <v>12</v>
      </c>
      <c r="B397" s="0" t="n">
        <v>8</v>
      </c>
      <c r="C397" s="0" t="n">
        <v>80</v>
      </c>
      <c r="D397" s="0" t="n">
        <v>2015</v>
      </c>
      <c r="E397" s="0" t="n">
        <v>2025</v>
      </c>
      <c r="F397" s="1" t="s">
        <v>19</v>
      </c>
      <c r="G397" s="0" t="n">
        <v>75000000</v>
      </c>
      <c r="H397" s="0" t="n">
        <f aca="false">LN(G397/C397)</f>
        <v>13.7509720368267</v>
      </c>
      <c r="I397" s="0" t="n">
        <f aca="false">B397</f>
        <v>8</v>
      </c>
      <c r="J397" s="0" t="n">
        <f aca="false">E397-D397</f>
        <v>10</v>
      </c>
      <c r="K397" s="0" t="n">
        <f aca="false">C397</f>
        <v>80</v>
      </c>
      <c r="L397" s="0" t="n">
        <f aca="false">IF(F397="改装済み",1,0)</f>
        <v>0</v>
      </c>
      <c r="M397" s="0" t="n">
        <f aca="false">IF(A397="池尻大橋",1,0)</f>
        <v>0</v>
      </c>
      <c r="N397" s="0" t="n">
        <f aca="false">IF(A397="三軒茶屋",1,0)</f>
        <v>0</v>
      </c>
      <c r="O397" s="0" t="n">
        <f aca="false">IF(A397="駒沢大学",1,0)</f>
        <v>0</v>
      </c>
      <c r="P397" s="0" t="n">
        <f aca="false">IF(A397="桜新町",1,0)</f>
        <v>1</v>
      </c>
      <c r="Q397" s="0" t="n">
        <f aca="false">IF(A397="二子玉川",1,0)</f>
        <v>0</v>
      </c>
      <c r="R397" s="0" t="n">
        <f aca="false">IF(E397=2021,1,0)</f>
        <v>0</v>
      </c>
      <c r="S397" s="0" t="n">
        <f aca="false">IF(E397=2022,1,0)</f>
        <v>0</v>
      </c>
      <c r="T397" s="0" t="n">
        <f aca="false">IF(E397=2023,1,0)</f>
        <v>0</v>
      </c>
      <c r="U397" s="0" t="n">
        <f aca="false">IF(E397=2024,1,0)</f>
        <v>0</v>
      </c>
    </row>
    <row r="398" customFormat="false" ht="15" hidden="false" customHeight="false" outlineLevel="0" collapsed="false">
      <c r="A398" s="1" t="s">
        <v>12</v>
      </c>
      <c r="B398" s="0" t="n">
        <v>10</v>
      </c>
      <c r="C398" s="0" t="n">
        <v>70</v>
      </c>
      <c r="D398" s="0" t="n">
        <v>2016</v>
      </c>
      <c r="E398" s="0" t="n">
        <v>2025</v>
      </c>
      <c r="F398" s="1" t="s">
        <v>19</v>
      </c>
      <c r="G398" s="0" t="n">
        <v>110000000</v>
      </c>
      <c r="H398" s="0" t="n">
        <f aca="false">LN(G398/C398)</f>
        <v>14.2674956817073</v>
      </c>
      <c r="I398" s="0" t="n">
        <f aca="false">B398</f>
        <v>10</v>
      </c>
      <c r="J398" s="0" t="n">
        <f aca="false">E398-D398</f>
        <v>9</v>
      </c>
      <c r="K398" s="0" t="n">
        <f aca="false">C398</f>
        <v>70</v>
      </c>
      <c r="L398" s="0" t="n">
        <f aca="false">IF(F398="改装済み",1,0)</f>
        <v>0</v>
      </c>
      <c r="M398" s="0" t="n">
        <f aca="false">IF(A398="池尻大橋",1,0)</f>
        <v>0</v>
      </c>
      <c r="N398" s="0" t="n">
        <f aca="false">IF(A398="三軒茶屋",1,0)</f>
        <v>0</v>
      </c>
      <c r="O398" s="0" t="n">
        <f aca="false">IF(A398="駒沢大学",1,0)</f>
        <v>0</v>
      </c>
      <c r="P398" s="0" t="n">
        <f aca="false">IF(A398="桜新町",1,0)</f>
        <v>1</v>
      </c>
      <c r="Q398" s="0" t="n">
        <f aca="false">IF(A398="二子玉川",1,0)</f>
        <v>0</v>
      </c>
      <c r="R398" s="0" t="n">
        <f aca="false">IF(E398=2021,1,0)</f>
        <v>0</v>
      </c>
      <c r="S398" s="0" t="n">
        <f aca="false">IF(E398=2022,1,0)</f>
        <v>0</v>
      </c>
      <c r="T398" s="0" t="n">
        <f aca="false">IF(E398=2023,1,0)</f>
        <v>0</v>
      </c>
      <c r="U398" s="0" t="n">
        <f aca="false">IF(E398=2024,1,0)</f>
        <v>0</v>
      </c>
    </row>
    <row r="399" customFormat="false" ht="15" hidden="false" customHeight="false" outlineLevel="0" collapsed="false">
      <c r="A399" s="1" t="s">
        <v>12</v>
      </c>
      <c r="B399" s="0" t="n">
        <v>11</v>
      </c>
      <c r="C399" s="0" t="n">
        <v>55</v>
      </c>
      <c r="D399" s="0" t="n">
        <v>1990</v>
      </c>
      <c r="E399" s="0" t="n">
        <v>2025</v>
      </c>
      <c r="F399" s="1" t="s">
        <v>19</v>
      </c>
      <c r="G399" s="0" t="n">
        <v>65000000</v>
      </c>
      <c r="H399" s="0" t="n">
        <f aca="false">LN(G399/C399)</f>
        <v>13.9825646426274</v>
      </c>
      <c r="I399" s="0" t="n">
        <f aca="false">B399</f>
        <v>11</v>
      </c>
      <c r="J399" s="0" t="n">
        <f aca="false">E399-D399</f>
        <v>35</v>
      </c>
      <c r="K399" s="0" t="n">
        <f aca="false">C399</f>
        <v>55</v>
      </c>
      <c r="L399" s="0" t="n">
        <f aca="false">IF(F399="改装済み",1,0)</f>
        <v>0</v>
      </c>
      <c r="M399" s="0" t="n">
        <f aca="false">IF(A399="池尻大橋",1,0)</f>
        <v>0</v>
      </c>
      <c r="N399" s="0" t="n">
        <f aca="false">IF(A399="三軒茶屋",1,0)</f>
        <v>0</v>
      </c>
      <c r="O399" s="0" t="n">
        <f aca="false">IF(A399="駒沢大学",1,0)</f>
        <v>0</v>
      </c>
      <c r="P399" s="0" t="n">
        <f aca="false">IF(A399="桜新町",1,0)</f>
        <v>1</v>
      </c>
      <c r="Q399" s="0" t="n">
        <f aca="false">IF(A399="二子玉川",1,0)</f>
        <v>0</v>
      </c>
      <c r="R399" s="0" t="n">
        <f aca="false">IF(E399=2021,1,0)</f>
        <v>0</v>
      </c>
      <c r="S399" s="0" t="n">
        <f aca="false">IF(E399=2022,1,0)</f>
        <v>0</v>
      </c>
      <c r="T399" s="0" t="n">
        <f aca="false">IF(E399=2023,1,0)</f>
        <v>0</v>
      </c>
      <c r="U399" s="0" t="n">
        <f aca="false">IF(E399=2024,1,0)</f>
        <v>0</v>
      </c>
    </row>
    <row r="400" customFormat="false" ht="15" hidden="false" customHeight="false" outlineLevel="0" collapsed="false">
      <c r="A400" s="1" t="s">
        <v>12</v>
      </c>
      <c r="B400" s="0" t="n">
        <v>11</v>
      </c>
      <c r="C400" s="0" t="n">
        <v>75</v>
      </c>
      <c r="D400" s="0" t="n">
        <v>2000</v>
      </c>
      <c r="E400" s="0" t="n">
        <v>2025</v>
      </c>
      <c r="F400" s="1" t="s">
        <v>18</v>
      </c>
      <c r="G400" s="0" t="n">
        <v>130000000</v>
      </c>
      <c r="H400" s="0" t="n">
        <f aca="false">LN(G400/C400)</f>
        <v>14.3655568948835</v>
      </c>
      <c r="I400" s="0" t="n">
        <f aca="false">B400</f>
        <v>11</v>
      </c>
      <c r="J400" s="0" t="n">
        <f aca="false">E400-D400</f>
        <v>25</v>
      </c>
      <c r="K400" s="0" t="n">
        <f aca="false">C400</f>
        <v>75</v>
      </c>
      <c r="L400" s="0" t="n">
        <f aca="false">IF(F400="改装済み",1,0)</f>
        <v>1</v>
      </c>
      <c r="M400" s="0" t="n">
        <f aca="false">IF(A400="池尻大橋",1,0)</f>
        <v>0</v>
      </c>
      <c r="N400" s="0" t="n">
        <f aca="false">IF(A400="三軒茶屋",1,0)</f>
        <v>0</v>
      </c>
      <c r="O400" s="0" t="n">
        <f aca="false">IF(A400="駒沢大学",1,0)</f>
        <v>0</v>
      </c>
      <c r="P400" s="0" t="n">
        <f aca="false">IF(A400="桜新町",1,0)</f>
        <v>1</v>
      </c>
      <c r="Q400" s="0" t="n">
        <f aca="false">IF(A400="二子玉川",1,0)</f>
        <v>0</v>
      </c>
      <c r="R400" s="0" t="n">
        <f aca="false">IF(E400=2021,1,0)</f>
        <v>0</v>
      </c>
      <c r="S400" s="0" t="n">
        <f aca="false">IF(E400=2022,1,0)</f>
        <v>0</v>
      </c>
      <c r="T400" s="0" t="n">
        <f aca="false">IF(E400=2023,1,0)</f>
        <v>0</v>
      </c>
      <c r="U400" s="0" t="n">
        <f aca="false">IF(E400=2024,1,0)</f>
        <v>0</v>
      </c>
    </row>
    <row r="401" customFormat="false" ht="15" hidden="false" customHeight="false" outlineLevel="0" collapsed="false">
      <c r="A401" s="1" t="s">
        <v>12</v>
      </c>
      <c r="B401" s="0" t="n">
        <v>13</v>
      </c>
      <c r="C401" s="0" t="n">
        <v>70</v>
      </c>
      <c r="D401" s="0" t="n">
        <v>1997</v>
      </c>
      <c r="E401" s="0" t="n">
        <v>2025</v>
      </c>
      <c r="F401" s="1" t="s">
        <v>19</v>
      </c>
      <c r="G401" s="0" t="n">
        <v>77000000</v>
      </c>
      <c r="H401" s="0" t="n">
        <f aca="false">LN(G401/C401)</f>
        <v>13.9108207377686</v>
      </c>
      <c r="I401" s="0" t="n">
        <f aca="false">B401</f>
        <v>13</v>
      </c>
      <c r="J401" s="0" t="n">
        <f aca="false">E401-D401</f>
        <v>28</v>
      </c>
      <c r="K401" s="0" t="n">
        <f aca="false">C401</f>
        <v>70</v>
      </c>
      <c r="L401" s="0" t="n">
        <f aca="false">IF(F401="改装済み",1,0)</f>
        <v>0</v>
      </c>
      <c r="M401" s="0" t="n">
        <f aca="false">IF(A401="池尻大橋",1,0)</f>
        <v>0</v>
      </c>
      <c r="N401" s="0" t="n">
        <f aca="false">IF(A401="三軒茶屋",1,0)</f>
        <v>0</v>
      </c>
      <c r="O401" s="0" t="n">
        <f aca="false">IF(A401="駒沢大学",1,0)</f>
        <v>0</v>
      </c>
      <c r="P401" s="0" t="n">
        <f aca="false">IF(A401="桜新町",1,0)</f>
        <v>1</v>
      </c>
      <c r="Q401" s="0" t="n">
        <f aca="false">IF(A401="二子玉川",1,0)</f>
        <v>0</v>
      </c>
      <c r="R401" s="0" t="n">
        <f aca="false">IF(E401=2021,1,0)</f>
        <v>0</v>
      </c>
      <c r="S401" s="0" t="n">
        <f aca="false">IF(E401=2022,1,0)</f>
        <v>0</v>
      </c>
      <c r="T401" s="0" t="n">
        <f aca="false">IF(E401=2023,1,0)</f>
        <v>0</v>
      </c>
      <c r="U401" s="0" t="n">
        <f aca="false">IF(E401=2024,1,0)</f>
        <v>0</v>
      </c>
    </row>
    <row r="402" customFormat="false" ht="15" hidden="false" customHeight="false" outlineLevel="0" collapsed="false">
      <c r="A402" s="1" t="s">
        <v>12</v>
      </c>
      <c r="B402" s="0" t="n">
        <v>10</v>
      </c>
      <c r="C402" s="0" t="n">
        <v>110</v>
      </c>
      <c r="D402" s="0" t="n">
        <v>1989</v>
      </c>
      <c r="E402" s="0" t="n">
        <v>2025</v>
      </c>
      <c r="F402" s="1" t="s">
        <v>19</v>
      </c>
      <c r="G402" s="0" t="n">
        <v>85000000</v>
      </c>
      <c r="H402" s="0" t="n">
        <f aca="false">LN(G402/C402)</f>
        <v>13.5576814486622</v>
      </c>
      <c r="I402" s="0" t="n">
        <f aca="false">B402</f>
        <v>10</v>
      </c>
      <c r="J402" s="0" t="n">
        <f aca="false">E402-D402</f>
        <v>36</v>
      </c>
      <c r="K402" s="0" t="n">
        <f aca="false">C402</f>
        <v>110</v>
      </c>
      <c r="L402" s="0" t="n">
        <f aca="false">IF(F402="改装済み",1,0)</f>
        <v>0</v>
      </c>
      <c r="M402" s="0" t="n">
        <f aca="false">IF(A402="池尻大橋",1,0)</f>
        <v>0</v>
      </c>
      <c r="N402" s="0" t="n">
        <f aca="false">IF(A402="三軒茶屋",1,0)</f>
        <v>0</v>
      </c>
      <c r="O402" s="0" t="n">
        <f aca="false">IF(A402="駒沢大学",1,0)</f>
        <v>0</v>
      </c>
      <c r="P402" s="0" t="n">
        <f aca="false">IF(A402="桜新町",1,0)</f>
        <v>1</v>
      </c>
      <c r="Q402" s="0" t="n">
        <f aca="false">IF(A402="二子玉川",1,0)</f>
        <v>0</v>
      </c>
      <c r="R402" s="0" t="n">
        <f aca="false">IF(E402=2021,1,0)</f>
        <v>0</v>
      </c>
      <c r="S402" s="0" t="n">
        <f aca="false">IF(E402=2022,1,0)</f>
        <v>0</v>
      </c>
      <c r="T402" s="0" t="n">
        <f aca="false">IF(E402=2023,1,0)</f>
        <v>0</v>
      </c>
      <c r="U402" s="0" t="n">
        <f aca="false">IF(E402=2024,1,0)</f>
        <v>0</v>
      </c>
    </row>
    <row r="403" customFormat="false" ht="15" hidden="false" customHeight="false" outlineLevel="0" collapsed="false">
      <c r="A403" s="1" t="s">
        <v>12</v>
      </c>
      <c r="B403" s="0" t="n">
        <v>10</v>
      </c>
      <c r="C403" s="0" t="n">
        <v>65</v>
      </c>
      <c r="D403" s="0" t="n">
        <v>2010</v>
      </c>
      <c r="E403" s="0" t="n">
        <v>2025</v>
      </c>
      <c r="F403" s="1" t="s">
        <v>18</v>
      </c>
      <c r="G403" s="0" t="n">
        <v>93000000</v>
      </c>
      <c r="H403" s="0" t="n">
        <f aca="false">LN(G403/C403)</f>
        <v>14.1737227812219</v>
      </c>
      <c r="I403" s="0" t="n">
        <f aca="false">B403</f>
        <v>10</v>
      </c>
      <c r="J403" s="0" t="n">
        <f aca="false">E403-D403</f>
        <v>15</v>
      </c>
      <c r="K403" s="0" t="n">
        <f aca="false">C403</f>
        <v>65</v>
      </c>
      <c r="L403" s="0" t="n">
        <f aca="false">IF(F403="改装済み",1,0)</f>
        <v>1</v>
      </c>
      <c r="M403" s="0" t="n">
        <f aca="false">IF(A403="池尻大橋",1,0)</f>
        <v>0</v>
      </c>
      <c r="N403" s="0" t="n">
        <f aca="false">IF(A403="三軒茶屋",1,0)</f>
        <v>0</v>
      </c>
      <c r="O403" s="0" t="n">
        <f aca="false">IF(A403="駒沢大学",1,0)</f>
        <v>0</v>
      </c>
      <c r="P403" s="0" t="n">
        <f aca="false">IF(A403="桜新町",1,0)</f>
        <v>1</v>
      </c>
      <c r="Q403" s="0" t="n">
        <f aca="false">IF(A403="二子玉川",1,0)</f>
        <v>0</v>
      </c>
      <c r="R403" s="0" t="n">
        <f aca="false">IF(E403=2021,1,0)</f>
        <v>0</v>
      </c>
      <c r="S403" s="0" t="n">
        <f aca="false">IF(E403=2022,1,0)</f>
        <v>0</v>
      </c>
      <c r="T403" s="0" t="n">
        <f aca="false">IF(E403=2023,1,0)</f>
        <v>0</v>
      </c>
      <c r="U403" s="0" t="n">
        <f aca="false">IF(E403=2024,1,0)</f>
        <v>0</v>
      </c>
    </row>
    <row r="404" customFormat="false" ht="15" hidden="false" customHeight="false" outlineLevel="0" collapsed="false">
      <c r="A404" s="1" t="s">
        <v>12</v>
      </c>
      <c r="B404" s="0" t="n">
        <v>12</v>
      </c>
      <c r="C404" s="0" t="n">
        <v>50</v>
      </c>
      <c r="D404" s="0" t="n">
        <v>1971</v>
      </c>
      <c r="E404" s="0" t="n">
        <v>2025</v>
      </c>
      <c r="F404" s="1" t="s">
        <v>19</v>
      </c>
      <c r="G404" s="0" t="n">
        <v>36000000</v>
      </c>
      <c r="H404" s="0" t="n">
        <f aca="false">LN(G404/C404)</f>
        <v>13.4870064909922</v>
      </c>
      <c r="I404" s="0" t="n">
        <f aca="false">B404</f>
        <v>12</v>
      </c>
      <c r="J404" s="0" t="n">
        <f aca="false">E404-D404</f>
        <v>54</v>
      </c>
      <c r="K404" s="0" t="n">
        <f aca="false">C404</f>
        <v>50</v>
      </c>
      <c r="L404" s="0" t="n">
        <f aca="false">IF(F404="改装済み",1,0)</f>
        <v>0</v>
      </c>
      <c r="M404" s="0" t="n">
        <f aca="false">IF(A404="池尻大橋",1,0)</f>
        <v>0</v>
      </c>
      <c r="N404" s="0" t="n">
        <f aca="false">IF(A404="三軒茶屋",1,0)</f>
        <v>0</v>
      </c>
      <c r="O404" s="0" t="n">
        <f aca="false">IF(A404="駒沢大学",1,0)</f>
        <v>0</v>
      </c>
      <c r="P404" s="0" t="n">
        <f aca="false">IF(A404="桜新町",1,0)</f>
        <v>1</v>
      </c>
      <c r="Q404" s="0" t="n">
        <f aca="false">IF(A404="二子玉川",1,0)</f>
        <v>0</v>
      </c>
      <c r="R404" s="0" t="n">
        <f aca="false">IF(E404=2021,1,0)</f>
        <v>0</v>
      </c>
      <c r="S404" s="0" t="n">
        <f aca="false">IF(E404=2022,1,0)</f>
        <v>0</v>
      </c>
      <c r="T404" s="0" t="n">
        <f aca="false">IF(E404=2023,1,0)</f>
        <v>0</v>
      </c>
      <c r="U404" s="0" t="n">
        <f aca="false">IF(E404=2024,1,0)</f>
        <v>0</v>
      </c>
    </row>
    <row r="405" customFormat="false" ht="15" hidden="false" customHeight="false" outlineLevel="0" collapsed="false">
      <c r="A405" s="1" t="s">
        <v>12</v>
      </c>
      <c r="B405" s="0" t="n">
        <v>13</v>
      </c>
      <c r="C405" s="0" t="n">
        <v>75</v>
      </c>
      <c r="D405" s="0" t="n">
        <v>2018</v>
      </c>
      <c r="E405" s="0" t="n">
        <v>2025</v>
      </c>
      <c r="F405" s="1" t="s">
        <v>19</v>
      </c>
      <c r="G405" s="0" t="n">
        <v>130000000</v>
      </c>
      <c r="H405" s="0" t="n">
        <f aca="false">LN(G405/C405)</f>
        <v>14.3655568948835</v>
      </c>
      <c r="I405" s="0" t="n">
        <f aca="false">B405</f>
        <v>13</v>
      </c>
      <c r="J405" s="0" t="n">
        <f aca="false">E405-D405</f>
        <v>7</v>
      </c>
      <c r="K405" s="0" t="n">
        <f aca="false">C405</f>
        <v>75</v>
      </c>
      <c r="L405" s="0" t="n">
        <f aca="false">IF(F405="改装済み",1,0)</f>
        <v>0</v>
      </c>
      <c r="M405" s="0" t="n">
        <f aca="false">IF(A405="池尻大橋",1,0)</f>
        <v>0</v>
      </c>
      <c r="N405" s="0" t="n">
        <f aca="false">IF(A405="三軒茶屋",1,0)</f>
        <v>0</v>
      </c>
      <c r="O405" s="0" t="n">
        <f aca="false">IF(A405="駒沢大学",1,0)</f>
        <v>0</v>
      </c>
      <c r="P405" s="0" t="n">
        <f aca="false">IF(A405="桜新町",1,0)</f>
        <v>1</v>
      </c>
      <c r="Q405" s="0" t="n">
        <f aca="false">IF(A405="二子玉川",1,0)</f>
        <v>0</v>
      </c>
      <c r="R405" s="0" t="n">
        <f aca="false">IF(E405=2021,1,0)</f>
        <v>0</v>
      </c>
      <c r="S405" s="0" t="n">
        <f aca="false">IF(E405=2022,1,0)</f>
        <v>0</v>
      </c>
      <c r="T405" s="0" t="n">
        <f aca="false">IF(E405=2023,1,0)</f>
        <v>0</v>
      </c>
      <c r="U405" s="0" t="n">
        <f aca="false">IF(E405=2024,1,0)</f>
        <v>0</v>
      </c>
    </row>
    <row r="406" customFormat="false" ht="15" hidden="false" customHeight="false" outlineLevel="0" collapsed="false">
      <c r="A406" s="1" t="s">
        <v>12</v>
      </c>
      <c r="B406" s="0" t="n">
        <v>10</v>
      </c>
      <c r="C406" s="0" t="n">
        <v>65</v>
      </c>
      <c r="D406" s="0" t="n">
        <v>2000</v>
      </c>
      <c r="E406" s="0" t="n">
        <v>2025</v>
      </c>
      <c r="F406" s="1" t="s">
        <v>18</v>
      </c>
      <c r="G406" s="0" t="n">
        <v>88000000</v>
      </c>
      <c r="H406" s="0" t="n">
        <f aca="false">LN(G406/C406)</f>
        <v>14.1184601025468</v>
      </c>
      <c r="I406" s="0" t="n">
        <f aca="false">B406</f>
        <v>10</v>
      </c>
      <c r="J406" s="0" t="n">
        <f aca="false">E406-D406</f>
        <v>25</v>
      </c>
      <c r="K406" s="0" t="n">
        <f aca="false">C406</f>
        <v>65</v>
      </c>
      <c r="L406" s="0" t="n">
        <f aca="false">IF(F406="改装済み",1,0)</f>
        <v>1</v>
      </c>
      <c r="M406" s="0" t="n">
        <f aca="false">IF(A406="池尻大橋",1,0)</f>
        <v>0</v>
      </c>
      <c r="N406" s="0" t="n">
        <f aca="false">IF(A406="三軒茶屋",1,0)</f>
        <v>0</v>
      </c>
      <c r="O406" s="0" t="n">
        <f aca="false">IF(A406="駒沢大学",1,0)</f>
        <v>0</v>
      </c>
      <c r="P406" s="0" t="n">
        <f aca="false">IF(A406="桜新町",1,0)</f>
        <v>1</v>
      </c>
      <c r="Q406" s="0" t="n">
        <f aca="false">IF(A406="二子玉川",1,0)</f>
        <v>0</v>
      </c>
      <c r="R406" s="0" t="n">
        <f aca="false">IF(E406=2021,1,0)</f>
        <v>0</v>
      </c>
      <c r="S406" s="0" t="n">
        <f aca="false">IF(E406=2022,1,0)</f>
        <v>0</v>
      </c>
      <c r="T406" s="0" t="n">
        <f aca="false">IF(E406=2023,1,0)</f>
        <v>0</v>
      </c>
      <c r="U406" s="0" t="n">
        <f aca="false">IF(E406=2024,1,0)</f>
        <v>0</v>
      </c>
    </row>
    <row r="407" customFormat="false" ht="15" hidden="false" customHeight="false" outlineLevel="0" collapsed="false">
      <c r="A407" s="1" t="s">
        <v>12</v>
      </c>
      <c r="B407" s="0" t="n">
        <v>11</v>
      </c>
      <c r="C407" s="0" t="n">
        <v>80</v>
      </c>
      <c r="D407" s="0" t="n">
        <v>1990</v>
      </c>
      <c r="E407" s="0" t="n">
        <v>2025</v>
      </c>
      <c r="F407" s="1" t="s">
        <v>19</v>
      </c>
      <c r="G407" s="0" t="n">
        <v>82000000</v>
      </c>
      <c r="H407" s="0" t="n">
        <f aca="false">LN(G407/C407)</f>
        <v>13.8402031705546</v>
      </c>
      <c r="I407" s="0" t="n">
        <f aca="false">B407</f>
        <v>11</v>
      </c>
      <c r="J407" s="0" t="n">
        <f aca="false">E407-D407</f>
        <v>35</v>
      </c>
      <c r="K407" s="0" t="n">
        <f aca="false">C407</f>
        <v>80</v>
      </c>
      <c r="L407" s="0" t="n">
        <f aca="false">IF(F407="改装済み",1,0)</f>
        <v>0</v>
      </c>
      <c r="M407" s="0" t="n">
        <f aca="false">IF(A407="池尻大橋",1,0)</f>
        <v>0</v>
      </c>
      <c r="N407" s="0" t="n">
        <f aca="false">IF(A407="三軒茶屋",1,0)</f>
        <v>0</v>
      </c>
      <c r="O407" s="0" t="n">
        <f aca="false">IF(A407="駒沢大学",1,0)</f>
        <v>0</v>
      </c>
      <c r="P407" s="0" t="n">
        <f aca="false">IF(A407="桜新町",1,0)</f>
        <v>1</v>
      </c>
      <c r="Q407" s="0" t="n">
        <f aca="false">IF(A407="二子玉川",1,0)</f>
        <v>0</v>
      </c>
      <c r="R407" s="0" t="n">
        <f aca="false">IF(E407=2021,1,0)</f>
        <v>0</v>
      </c>
      <c r="S407" s="0" t="n">
        <f aca="false">IF(E407=2022,1,0)</f>
        <v>0</v>
      </c>
      <c r="T407" s="0" t="n">
        <f aca="false">IF(E407=2023,1,0)</f>
        <v>0</v>
      </c>
      <c r="U407" s="0" t="n">
        <f aca="false">IF(E407=2024,1,0)</f>
        <v>0</v>
      </c>
    </row>
    <row r="408" customFormat="false" ht="15" hidden="false" customHeight="false" outlineLevel="0" collapsed="false">
      <c r="A408" s="1" t="s">
        <v>12</v>
      </c>
      <c r="B408" s="0" t="n">
        <v>10</v>
      </c>
      <c r="C408" s="0" t="n">
        <v>70</v>
      </c>
      <c r="D408" s="0" t="n">
        <v>2000</v>
      </c>
      <c r="E408" s="0" t="n">
        <v>2025</v>
      </c>
      <c r="F408" s="1" t="s">
        <v>19</v>
      </c>
      <c r="G408" s="0" t="n">
        <v>94000000</v>
      </c>
      <c r="H408" s="0" t="n">
        <f aca="false">LN(G408/C408)</f>
        <v>14.1103100981849</v>
      </c>
      <c r="I408" s="0" t="n">
        <f aca="false">B408</f>
        <v>10</v>
      </c>
      <c r="J408" s="0" t="n">
        <f aca="false">E408-D408</f>
        <v>25</v>
      </c>
      <c r="K408" s="0" t="n">
        <f aca="false">C408</f>
        <v>70</v>
      </c>
      <c r="L408" s="0" t="n">
        <f aca="false">IF(F408="改装済み",1,0)</f>
        <v>0</v>
      </c>
      <c r="M408" s="0" t="n">
        <f aca="false">IF(A408="池尻大橋",1,0)</f>
        <v>0</v>
      </c>
      <c r="N408" s="0" t="n">
        <f aca="false">IF(A408="三軒茶屋",1,0)</f>
        <v>0</v>
      </c>
      <c r="O408" s="0" t="n">
        <f aca="false">IF(A408="駒沢大学",1,0)</f>
        <v>0</v>
      </c>
      <c r="P408" s="0" t="n">
        <f aca="false">IF(A408="桜新町",1,0)</f>
        <v>1</v>
      </c>
      <c r="Q408" s="0" t="n">
        <f aca="false">IF(A408="二子玉川",1,0)</f>
        <v>0</v>
      </c>
      <c r="R408" s="0" t="n">
        <f aca="false">IF(E408=2021,1,0)</f>
        <v>0</v>
      </c>
      <c r="S408" s="0" t="n">
        <f aca="false">IF(E408=2022,1,0)</f>
        <v>0</v>
      </c>
      <c r="T408" s="0" t="n">
        <f aca="false">IF(E408=2023,1,0)</f>
        <v>0</v>
      </c>
      <c r="U408" s="0" t="n">
        <f aca="false">IF(E408=2024,1,0)</f>
        <v>0</v>
      </c>
    </row>
    <row r="409" customFormat="false" ht="15" hidden="false" customHeight="false" outlineLevel="0" collapsed="false">
      <c r="A409" s="1" t="s">
        <v>12</v>
      </c>
      <c r="B409" s="0" t="n">
        <v>13</v>
      </c>
      <c r="C409" s="0" t="n">
        <v>65</v>
      </c>
      <c r="D409" s="0" t="n">
        <v>2018</v>
      </c>
      <c r="E409" s="0" t="n">
        <v>2025</v>
      </c>
      <c r="F409" s="1" t="s">
        <v>19</v>
      </c>
      <c r="G409" s="0" t="n">
        <v>110000000</v>
      </c>
      <c r="H409" s="0" t="n">
        <f aca="false">LN(G409/C409)</f>
        <v>14.3416036538611</v>
      </c>
      <c r="I409" s="0" t="n">
        <f aca="false">B409</f>
        <v>13</v>
      </c>
      <c r="J409" s="0" t="n">
        <f aca="false">E409-D409</f>
        <v>7</v>
      </c>
      <c r="K409" s="0" t="n">
        <f aca="false">C409</f>
        <v>65</v>
      </c>
      <c r="L409" s="0" t="n">
        <f aca="false">IF(F409="改装済み",1,0)</f>
        <v>0</v>
      </c>
      <c r="M409" s="0" t="n">
        <f aca="false">IF(A409="池尻大橋",1,0)</f>
        <v>0</v>
      </c>
      <c r="N409" s="0" t="n">
        <f aca="false">IF(A409="三軒茶屋",1,0)</f>
        <v>0</v>
      </c>
      <c r="O409" s="0" t="n">
        <f aca="false">IF(A409="駒沢大学",1,0)</f>
        <v>0</v>
      </c>
      <c r="P409" s="0" t="n">
        <f aca="false">IF(A409="桜新町",1,0)</f>
        <v>1</v>
      </c>
      <c r="Q409" s="0" t="n">
        <f aca="false">IF(A409="二子玉川",1,0)</f>
        <v>0</v>
      </c>
      <c r="R409" s="0" t="n">
        <f aca="false">IF(E409=2021,1,0)</f>
        <v>0</v>
      </c>
      <c r="S409" s="0" t="n">
        <f aca="false">IF(E409=2022,1,0)</f>
        <v>0</v>
      </c>
      <c r="T409" s="0" t="n">
        <f aca="false">IF(E409=2023,1,0)</f>
        <v>0</v>
      </c>
      <c r="U409" s="0" t="n">
        <f aca="false">IF(E409=2024,1,0)</f>
        <v>0</v>
      </c>
    </row>
    <row r="410" customFormat="false" ht="15" hidden="false" customHeight="false" outlineLevel="0" collapsed="false">
      <c r="A410" s="1" t="s">
        <v>12</v>
      </c>
      <c r="B410" s="0" t="n">
        <v>10</v>
      </c>
      <c r="C410" s="0" t="n">
        <v>85</v>
      </c>
      <c r="D410" s="0" t="n">
        <v>1997</v>
      </c>
      <c r="E410" s="0" t="n">
        <v>2024</v>
      </c>
      <c r="F410" s="1" t="s">
        <v>18</v>
      </c>
      <c r="G410" s="0" t="n">
        <v>150000000</v>
      </c>
      <c r="H410" s="0" t="n">
        <f aca="false">LN(G410/C410)</f>
        <v>14.3834945955702</v>
      </c>
      <c r="I410" s="0" t="n">
        <f aca="false">B410</f>
        <v>10</v>
      </c>
      <c r="J410" s="0" t="n">
        <f aca="false">E410-D410</f>
        <v>27</v>
      </c>
      <c r="K410" s="0" t="n">
        <f aca="false">C410</f>
        <v>85</v>
      </c>
      <c r="L410" s="0" t="n">
        <f aca="false">IF(F410="改装済み",1,0)</f>
        <v>1</v>
      </c>
      <c r="M410" s="0" t="n">
        <f aca="false">IF(A410="池尻大橋",1,0)</f>
        <v>0</v>
      </c>
      <c r="N410" s="0" t="n">
        <f aca="false">IF(A410="三軒茶屋",1,0)</f>
        <v>0</v>
      </c>
      <c r="O410" s="0" t="n">
        <f aca="false">IF(A410="駒沢大学",1,0)</f>
        <v>0</v>
      </c>
      <c r="P410" s="0" t="n">
        <f aca="false">IF(A410="桜新町",1,0)</f>
        <v>1</v>
      </c>
      <c r="Q410" s="0" t="n">
        <f aca="false">IF(A410="二子玉川",1,0)</f>
        <v>0</v>
      </c>
      <c r="R410" s="0" t="n">
        <f aca="false">IF(E410=2021,1,0)</f>
        <v>0</v>
      </c>
      <c r="S410" s="0" t="n">
        <f aca="false">IF(E410=2022,1,0)</f>
        <v>0</v>
      </c>
      <c r="T410" s="0" t="n">
        <f aca="false">IF(E410=2023,1,0)</f>
        <v>0</v>
      </c>
      <c r="U410" s="0" t="n">
        <f aca="false">IF(E410=2024,1,0)</f>
        <v>1</v>
      </c>
    </row>
    <row r="411" customFormat="false" ht="15" hidden="false" customHeight="false" outlineLevel="0" collapsed="false">
      <c r="A411" s="1" t="s">
        <v>12</v>
      </c>
      <c r="B411" s="0" t="n">
        <v>10</v>
      </c>
      <c r="C411" s="0" t="n">
        <v>85</v>
      </c>
      <c r="D411" s="0" t="n">
        <v>1997</v>
      </c>
      <c r="E411" s="0" t="n">
        <v>2024</v>
      </c>
      <c r="F411" s="1" t="s">
        <v>19</v>
      </c>
      <c r="G411" s="0" t="n">
        <v>130000000</v>
      </c>
      <c r="H411" s="0" t="n">
        <f aca="false">LN(G411/C411)</f>
        <v>14.2403937519295</v>
      </c>
      <c r="I411" s="0" t="n">
        <f aca="false">B411</f>
        <v>10</v>
      </c>
      <c r="J411" s="0" t="n">
        <f aca="false">E411-D411</f>
        <v>27</v>
      </c>
      <c r="K411" s="0" t="n">
        <f aca="false">C411</f>
        <v>85</v>
      </c>
      <c r="L411" s="0" t="n">
        <f aca="false">IF(F411="改装済み",1,0)</f>
        <v>0</v>
      </c>
      <c r="M411" s="0" t="n">
        <f aca="false">IF(A411="池尻大橋",1,0)</f>
        <v>0</v>
      </c>
      <c r="N411" s="0" t="n">
        <f aca="false">IF(A411="三軒茶屋",1,0)</f>
        <v>0</v>
      </c>
      <c r="O411" s="0" t="n">
        <f aca="false">IF(A411="駒沢大学",1,0)</f>
        <v>0</v>
      </c>
      <c r="P411" s="0" t="n">
        <f aca="false">IF(A411="桜新町",1,0)</f>
        <v>1</v>
      </c>
      <c r="Q411" s="0" t="n">
        <f aca="false">IF(A411="二子玉川",1,0)</f>
        <v>0</v>
      </c>
      <c r="R411" s="0" t="n">
        <f aca="false">IF(E411=2021,1,0)</f>
        <v>0</v>
      </c>
      <c r="S411" s="0" t="n">
        <f aca="false">IF(E411=2022,1,0)</f>
        <v>0</v>
      </c>
      <c r="T411" s="0" t="n">
        <f aca="false">IF(E411=2023,1,0)</f>
        <v>0</v>
      </c>
      <c r="U411" s="0" t="n">
        <f aca="false">IF(E411=2024,1,0)</f>
        <v>1</v>
      </c>
    </row>
    <row r="412" customFormat="false" ht="15" hidden="false" customHeight="false" outlineLevel="0" collapsed="false">
      <c r="A412" s="1" t="s">
        <v>12</v>
      </c>
      <c r="B412" s="0" t="n">
        <v>10</v>
      </c>
      <c r="C412" s="0" t="n">
        <v>65</v>
      </c>
      <c r="D412" s="0" t="n">
        <v>1995</v>
      </c>
      <c r="E412" s="0" t="n">
        <v>2024</v>
      </c>
      <c r="F412" s="1" t="s">
        <v>18</v>
      </c>
      <c r="G412" s="0" t="n">
        <v>100000000</v>
      </c>
      <c r="H412" s="0" t="n">
        <f aca="false">LN(G412/C412)</f>
        <v>14.2462934740567</v>
      </c>
      <c r="I412" s="0" t="n">
        <f aca="false">B412</f>
        <v>10</v>
      </c>
      <c r="J412" s="0" t="n">
        <f aca="false">E412-D412</f>
        <v>29</v>
      </c>
      <c r="K412" s="0" t="n">
        <f aca="false">C412</f>
        <v>65</v>
      </c>
      <c r="L412" s="0" t="n">
        <f aca="false">IF(F412="改装済み",1,0)</f>
        <v>1</v>
      </c>
      <c r="M412" s="0" t="n">
        <f aca="false">IF(A412="池尻大橋",1,0)</f>
        <v>0</v>
      </c>
      <c r="N412" s="0" t="n">
        <f aca="false">IF(A412="三軒茶屋",1,0)</f>
        <v>0</v>
      </c>
      <c r="O412" s="0" t="n">
        <f aca="false">IF(A412="駒沢大学",1,0)</f>
        <v>0</v>
      </c>
      <c r="P412" s="0" t="n">
        <f aca="false">IF(A412="桜新町",1,0)</f>
        <v>1</v>
      </c>
      <c r="Q412" s="0" t="n">
        <f aca="false">IF(A412="二子玉川",1,0)</f>
        <v>0</v>
      </c>
      <c r="R412" s="0" t="n">
        <f aca="false">IF(E412=2021,1,0)</f>
        <v>0</v>
      </c>
      <c r="S412" s="0" t="n">
        <f aca="false">IF(E412=2022,1,0)</f>
        <v>0</v>
      </c>
      <c r="T412" s="0" t="n">
        <f aca="false">IF(E412=2023,1,0)</f>
        <v>0</v>
      </c>
      <c r="U412" s="0" t="n">
        <f aca="false">IF(E412=2024,1,0)</f>
        <v>1</v>
      </c>
    </row>
    <row r="413" customFormat="false" ht="15" hidden="false" customHeight="false" outlineLevel="0" collapsed="false">
      <c r="A413" s="1" t="s">
        <v>12</v>
      </c>
      <c r="B413" s="0" t="n">
        <v>10</v>
      </c>
      <c r="C413" s="0" t="n">
        <v>65</v>
      </c>
      <c r="D413" s="0" t="n">
        <v>2000</v>
      </c>
      <c r="E413" s="0" t="n">
        <v>2024</v>
      </c>
      <c r="F413" s="1" t="s">
        <v>19</v>
      </c>
      <c r="G413" s="0" t="n">
        <v>87000000</v>
      </c>
      <c r="H413" s="0" t="n">
        <f aca="false">LN(G413/C413)</f>
        <v>14.1070314067232</v>
      </c>
      <c r="I413" s="0" t="n">
        <f aca="false">B413</f>
        <v>10</v>
      </c>
      <c r="J413" s="0" t="n">
        <f aca="false">E413-D413</f>
        <v>24</v>
      </c>
      <c r="K413" s="0" t="n">
        <f aca="false">C413</f>
        <v>65</v>
      </c>
      <c r="L413" s="0" t="n">
        <f aca="false">IF(F413="改装済み",1,0)</f>
        <v>0</v>
      </c>
      <c r="M413" s="0" t="n">
        <f aca="false">IF(A413="池尻大橋",1,0)</f>
        <v>0</v>
      </c>
      <c r="N413" s="0" t="n">
        <f aca="false">IF(A413="三軒茶屋",1,0)</f>
        <v>0</v>
      </c>
      <c r="O413" s="0" t="n">
        <f aca="false">IF(A413="駒沢大学",1,0)</f>
        <v>0</v>
      </c>
      <c r="P413" s="0" t="n">
        <f aca="false">IF(A413="桜新町",1,0)</f>
        <v>1</v>
      </c>
      <c r="Q413" s="0" t="n">
        <f aca="false">IF(A413="二子玉川",1,0)</f>
        <v>0</v>
      </c>
      <c r="R413" s="0" t="n">
        <f aca="false">IF(E413=2021,1,0)</f>
        <v>0</v>
      </c>
      <c r="S413" s="0" t="n">
        <f aca="false">IF(E413=2022,1,0)</f>
        <v>0</v>
      </c>
      <c r="T413" s="0" t="n">
        <f aca="false">IF(E413=2023,1,0)</f>
        <v>0</v>
      </c>
      <c r="U413" s="0" t="n">
        <f aca="false">IF(E413=2024,1,0)</f>
        <v>1</v>
      </c>
    </row>
    <row r="414" customFormat="false" ht="15" hidden="false" customHeight="false" outlineLevel="0" collapsed="false">
      <c r="A414" s="1" t="s">
        <v>12</v>
      </c>
      <c r="B414" s="0" t="n">
        <v>10</v>
      </c>
      <c r="C414" s="0" t="n">
        <v>80</v>
      </c>
      <c r="D414" s="0" t="n">
        <v>2000</v>
      </c>
      <c r="E414" s="0" t="n">
        <v>2024</v>
      </c>
      <c r="F414" s="1" t="s">
        <v>18</v>
      </c>
      <c r="G414" s="0" t="n">
        <v>100000000</v>
      </c>
      <c r="H414" s="0" t="n">
        <f aca="false">LN(G414/C414)</f>
        <v>14.0386541092785</v>
      </c>
      <c r="I414" s="0" t="n">
        <f aca="false">B414</f>
        <v>10</v>
      </c>
      <c r="J414" s="0" t="n">
        <f aca="false">E414-D414</f>
        <v>24</v>
      </c>
      <c r="K414" s="0" t="n">
        <f aca="false">C414</f>
        <v>80</v>
      </c>
      <c r="L414" s="0" t="n">
        <f aca="false">IF(F414="改装済み",1,0)</f>
        <v>1</v>
      </c>
      <c r="M414" s="0" t="n">
        <f aca="false">IF(A414="池尻大橋",1,0)</f>
        <v>0</v>
      </c>
      <c r="N414" s="0" t="n">
        <f aca="false">IF(A414="三軒茶屋",1,0)</f>
        <v>0</v>
      </c>
      <c r="O414" s="0" t="n">
        <f aca="false">IF(A414="駒沢大学",1,0)</f>
        <v>0</v>
      </c>
      <c r="P414" s="0" t="n">
        <f aca="false">IF(A414="桜新町",1,0)</f>
        <v>1</v>
      </c>
      <c r="Q414" s="0" t="n">
        <f aca="false">IF(A414="二子玉川",1,0)</f>
        <v>0</v>
      </c>
      <c r="R414" s="0" t="n">
        <f aca="false">IF(E414=2021,1,0)</f>
        <v>0</v>
      </c>
      <c r="S414" s="0" t="n">
        <f aca="false">IF(E414=2022,1,0)</f>
        <v>0</v>
      </c>
      <c r="T414" s="0" t="n">
        <f aca="false">IF(E414=2023,1,0)</f>
        <v>0</v>
      </c>
      <c r="U414" s="0" t="n">
        <f aca="false">IF(E414=2024,1,0)</f>
        <v>1</v>
      </c>
    </row>
    <row r="415" customFormat="false" ht="15" hidden="false" customHeight="false" outlineLevel="0" collapsed="false">
      <c r="A415" s="1" t="s">
        <v>12</v>
      </c>
      <c r="B415" s="0" t="n">
        <v>8</v>
      </c>
      <c r="C415" s="0" t="n">
        <v>70</v>
      </c>
      <c r="D415" s="0" t="n">
        <v>2002</v>
      </c>
      <c r="E415" s="0" t="n">
        <v>2024</v>
      </c>
      <c r="F415" s="1" t="s">
        <v>19</v>
      </c>
      <c r="G415" s="0" t="n">
        <v>93000000</v>
      </c>
      <c r="H415" s="0" t="n">
        <f aca="false">LN(G415/C415)</f>
        <v>14.0996148090682</v>
      </c>
      <c r="I415" s="0" t="n">
        <f aca="false">B415</f>
        <v>8</v>
      </c>
      <c r="J415" s="0" t="n">
        <f aca="false">E415-D415</f>
        <v>22</v>
      </c>
      <c r="K415" s="0" t="n">
        <f aca="false">C415</f>
        <v>70</v>
      </c>
      <c r="L415" s="0" t="n">
        <f aca="false">IF(F415="改装済み",1,0)</f>
        <v>0</v>
      </c>
      <c r="M415" s="0" t="n">
        <f aca="false">IF(A415="池尻大橋",1,0)</f>
        <v>0</v>
      </c>
      <c r="N415" s="0" t="n">
        <f aca="false">IF(A415="三軒茶屋",1,0)</f>
        <v>0</v>
      </c>
      <c r="O415" s="0" t="n">
        <f aca="false">IF(A415="駒沢大学",1,0)</f>
        <v>0</v>
      </c>
      <c r="P415" s="0" t="n">
        <f aca="false">IF(A415="桜新町",1,0)</f>
        <v>1</v>
      </c>
      <c r="Q415" s="0" t="n">
        <f aca="false">IF(A415="二子玉川",1,0)</f>
        <v>0</v>
      </c>
      <c r="R415" s="0" t="n">
        <f aca="false">IF(E415=2021,1,0)</f>
        <v>0</v>
      </c>
      <c r="S415" s="0" t="n">
        <f aca="false">IF(E415=2022,1,0)</f>
        <v>0</v>
      </c>
      <c r="T415" s="0" t="n">
        <f aca="false">IF(E415=2023,1,0)</f>
        <v>0</v>
      </c>
      <c r="U415" s="0" t="n">
        <f aca="false">IF(E415=2024,1,0)</f>
        <v>1</v>
      </c>
    </row>
    <row r="416" customFormat="false" ht="15" hidden="false" customHeight="false" outlineLevel="0" collapsed="false">
      <c r="A416" s="1" t="s">
        <v>12</v>
      </c>
      <c r="B416" s="0" t="n">
        <v>11</v>
      </c>
      <c r="C416" s="0" t="n">
        <v>75</v>
      </c>
      <c r="D416" s="0" t="n">
        <v>2000</v>
      </c>
      <c r="E416" s="0" t="n">
        <v>2024</v>
      </c>
      <c r="F416" s="1" t="s">
        <v>18</v>
      </c>
      <c r="G416" s="0" t="n">
        <v>120000000</v>
      </c>
      <c r="H416" s="0" t="n">
        <f aca="false">LN(G416/C416)</f>
        <v>14.28551418721</v>
      </c>
      <c r="I416" s="0" t="n">
        <f aca="false">B416</f>
        <v>11</v>
      </c>
      <c r="J416" s="0" t="n">
        <f aca="false">E416-D416</f>
        <v>24</v>
      </c>
      <c r="K416" s="0" t="n">
        <f aca="false">C416</f>
        <v>75</v>
      </c>
      <c r="L416" s="0" t="n">
        <f aca="false">IF(F416="改装済み",1,0)</f>
        <v>1</v>
      </c>
      <c r="M416" s="0" t="n">
        <f aca="false">IF(A416="池尻大橋",1,0)</f>
        <v>0</v>
      </c>
      <c r="N416" s="0" t="n">
        <f aca="false">IF(A416="三軒茶屋",1,0)</f>
        <v>0</v>
      </c>
      <c r="O416" s="0" t="n">
        <f aca="false">IF(A416="駒沢大学",1,0)</f>
        <v>0</v>
      </c>
      <c r="P416" s="0" t="n">
        <f aca="false">IF(A416="桜新町",1,0)</f>
        <v>1</v>
      </c>
      <c r="Q416" s="0" t="n">
        <f aca="false">IF(A416="二子玉川",1,0)</f>
        <v>0</v>
      </c>
      <c r="R416" s="0" t="n">
        <f aca="false">IF(E416=2021,1,0)</f>
        <v>0</v>
      </c>
      <c r="S416" s="0" t="n">
        <f aca="false">IF(E416=2022,1,0)</f>
        <v>0</v>
      </c>
      <c r="T416" s="0" t="n">
        <f aca="false">IF(E416=2023,1,0)</f>
        <v>0</v>
      </c>
      <c r="U416" s="0" t="n">
        <f aca="false">IF(E416=2024,1,0)</f>
        <v>1</v>
      </c>
    </row>
    <row r="417" customFormat="false" ht="15" hidden="false" customHeight="false" outlineLevel="0" collapsed="false">
      <c r="A417" s="1" t="s">
        <v>12</v>
      </c>
      <c r="B417" s="0" t="n">
        <v>10</v>
      </c>
      <c r="C417" s="0" t="n">
        <v>85</v>
      </c>
      <c r="D417" s="0" t="n">
        <v>2016</v>
      </c>
      <c r="E417" s="0" t="n">
        <v>2024</v>
      </c>
      <c r="F417" s="1" t="s">
        <v>19</v>
      </c>
      <c r="G417" s="0" t="n">
        <v>150000000</v>
      </c>
      <c r="H417" s="0" t="n">
        <f aca="false">LN(G417/C417)</f>
        <v>14.3834945955702</v>
      </c>
      <c r="I417" s="0" t="n">
        <f aca="false">B417</f>
        <v>10</v>
      </c>
      <c r="J417" s="0" t="n">
        <f aca="false">E417-D417</f>
        <v>8</v>
      </c>
      <c r="K417" s="0" t="n">
        <f aca="false">C417</f>
        <v>85</v>
      </c>
      <c r="L417" s="0" t="n">
        <f aca="false">IF(F417="改装済み",1,0)</f>
        <v>0</v>
      </c>
      <c r="M417" s="0" t="n">
        <f aca="false">IF(A417="池尻大橋",1,0)</f>
        <v>0</v>
      </c>
      <c r="N417" s="0" t="n">
        <f aca="false">IF(A417="三軒茶屋",1,0)</f>
        <v>0</v>
      </c>
      <c r="O417" s="0" t="n">
        <f aca="false">IF(A417="駒沢大学",1,0)</f>
        <v>0</v>
      </c>
      <c r="P417" s="0" t="n">
        <f aca="false">IF(A417="桜新町",1,0)</f>
        <v>1</v>
      </c>
      <c r="Q417" s="0" t="n">
        <f aca="false">IF(A417="二子玉川",1,0)</f>
        <v>0</v>
      </c>
      <c r="R417" s="0" t="n">
        <f aca="false">IF(E417=2021,1,0)</f>
        <v>0</v>
      </c>
      <c r="S417" s="0" t="n">
        <f aca="false">IF(E417=2022,1,0)</f>
        <v>0</v>
      </c>
      <c r="T417" s="0" t="n">
        <f aca="false">IF(E417=2023,1,0)</f>
        <v>0</v>
      </c>
      <c r="U417" s="0" t="n">
        <f aca="false">IF(E417=2024,1,0)</f>
        <v>1</v>
      </c>
    </row>
    <row r="418" customFormat="false" ht="15" hidden="false" customHeight="false" outlineLevel="0" collapsed="false">
      <c r="A418" s="1" t="s">
        <v>12</v>
      </c>
      <c r="B418" s="0" t="n">
        <v>13</v>
      </c>
      <c r="C418" s="0" t="n">
        <v>75</v>
      </c>
      <c r="D418" s="0" t="n">
        <v>2018</v>
      </c>
      <c r="E418" s="0" t="n">
        <v>2024</v>
      </c>
      <c r="F418" s="1" t="s">
        <v>19</v>
      </c>
      <c r="G418" s="0" t="n">
        <v>110000000</v>
      </c>
      <c r="H418" s="0" t="n">
        <f aca="false">LN(G418/C418)</f>
        <v>14.1985028102204</v>
      </c>
      <c r="I418" s="0" t="n">
        <f aca="false">B418</f>
        <v>13</v>
      </c>
      <c r="J418" s="0" t="n">
        <f aca="false">E418-D418</f>
        <v>6</v>
      </c>
      <c r="K418" s="0" t="n">
        <f aca="false">C418</f>
        <v>75</v>
      </c>
      <c r="L418" s="0" t="n">
        <f aca="false">IF(F418="改装済み",1,0)</f>
        <v>0</v>
      </c>
      <c r="M418" s="0" t="n">
        <f aca="false">IF(A418="池尻大橋",1,0)</f>
        <v>0</v>
      </c>
      <c r="N418" s="0" t="n">
        <f aca="false">IF(A418="三軒茶屋",1,0)</f>
        <v>0</v>
      </c>
      <c r="O418" s="0" t="n">
        <f aca="false">IF(A418="駒沢大学",1,0)</f>
        <v>0</v>
      </c>
      <c r="P418" s="0" t="n">
        <f aca="false">IF(A418="桜新町",1,0)</f>
        <v>1</v>
      </c>
      <c r="Q418" s="0" t="n">
        <f aca="false">IF(A418="二子玉川",1,0)</f>
        <v>0</v>
      </c>
      <c r="R418" s="0" t="n">
        <f aca="false">IF(E418=2021,1,0)</f>
        <v>0</v>
      </c>
      <c r="S418" s="0" t="n">
        <f aca="false">IF(E418=2022,1,0)</f>
        <v>0</v>
      </c>
      <c r="T418" s="0" t="n">
        <f aca="false">IF(E418=2023,1,0)</f>
        <v>0</v>
      </c>
      <c r="U418" s="0" t="n">
        <f aca="false">IF(E418=2024,1,0)</f>
        <v>1</v>
      </c>
    </row>
    <row r="419" customFormat="false" ht="15" hidden="false" customHeight="false" outlineLevel="0" collapsed="false">
      <c r="A419" s="1" t="s">
        <v>12</v>
      </c>
      <c r="B419" s="0" t="n">
        <v>10</v>
      </c>
      <c r="C419" s="0" t="n">
        <v>95</v>
      </c>
      <c r="D419" s="0" t="n">
        <v>1995</v>
      </c>
      <c r="E419" s="0" t="n">
        <v>2024</v>
      </c>
      <c r="F419" s="1" t="s">
        <v>18</v>
      </c>
      <c r="G419" s="0" t="n">
        <v>160000000</v>
      </c>
      <c r="H419" s="0" t="n">
        <f aca="false">LN(G419/C419)</f>
        <v>14.3368074815976</v>
      </c>
      <c r="I419" s="0" t="n">
        <f aca="false">B419</f>
        <v>10</v>
      </c>
      <c r="J419" s="0" t="n">
        <f aca="false">E419-D419</f>
        <v>29</v>
      </c>
      <c r="K419" s="0" t="n">
        <f aca="false">C419</f>
        <v>95</v>
      </c>
      <c r="L419" s="0" t="n">
        <f aca="false">IF(F419="改装済み",1,0)</f>
        <v>1</v>
      </c>
      <c r="M419" s="0" t="n">
        <f aca="false">IF(A419="池尻大橋",1,0)</f>
        <v>0</v>
      </c>
      <c r="N419" s="0" t="n">
        <f aca="false">IF(A419="三軒茶屋",1,0)</f>
        <v>0</v>
      </c>
      <c r="O419" s="0" t="n">
        <f aca="false">IF(A419="駒沢大学",1,0)</f>
        <v>0</v>
      </c>
      <c r="P419" s="0" t="n">
        <f aca="false">IF(A419="桜新町",1,0)</f>
        <v>1</v>
      </c>
      <c r="Q419" s="0" t="n">
        <f aca="false">IF(A419="二子玉川",1,0)</f>
        <v>0</v>
      </c>
      <c r="R419" s="0" t="n">
        <f aca="false">IF(E419=2021,1,0)</f>
        <v>0</v>
      </c>
      <c r="S419" s="0" t="n">
        <f aca="false">IF(E419=2022,1,0)</f>
        <v>0</v>
      </c>
      <c r="T419" s="0" t="n">
        <f aca="false">IF(E419=2023,1,0)</f>
        <v>0</v>
      </c>
      <c r="U419" s="0" t="n">
        <f aca="false">IF(E419=2024,1,0)</f>
        <v>1</v>
      </c>
    </row>
    <row r="420" customFormat="false" ht="15" hidden="false" customHeight="false" outlineLevel="0" collapsed="false">
      <c r="A420" s="1" t="s">
        <v>12</v>
      </c>
      <c r="B420" s="0" t="n">
        <v>13</v>
      </c>
      <c r="C420" s="0" t="n">
        <v>70</v>
      </c>
      <c r="D420" s="0" t="n">
        <v>2018</v>
      </c>
      <c r="E420" s="0" t="n">
        <v>2024</v>
      </c>
      <c r="F420" s="1" t="s">
        <v>19</v>
      </c>
      <c r="G420" s="0" t="n">
        <v>110000000</v>
      </c>
      <c r="H420" s="0" t="n">
        <f aca="false">LN(G420/C420)</f>
        <v>14.2674956817073</v>
      </c>
      <c r="I420" s="0" t="n">
        <f aca="false">B420</f>
        <v>13</v>
      </c>
      <c r="J420" s="0" t="n">
        <f aca="false">E420-D420</f>
        <v>6</v>
      </c>
      <c r="K420" s="0" t="n">
        <f aca="false">C420</f>
        <v>70</v>
      </c>
      <c r="L420" s="0" t="n">
        <f aca="false">IF(F420="改装済み",1,0)</f>
        <v>0</v>
      </c>
      <c r="M420" s="0" t="n">
        <f aca="false">IF(A420="池尻大橋",1,0)</f>
        <v>0</v>
      </c>
      <c r="N420" s="0" t="n">
        <f aca="false">IF(A420="三軒茶屋",1,0)</f>
        <v>0</v>
      </c>
      <c r="O420" s="0" t="n">
        <f aca="false">IF(A420="駒沢大学",1,0)</f>
        <v>0</v>
      </c>
      <c r="P420" s="0" t="n">
        <f aca="false">IF(A420="桜新町",1,0)</f>
        <v>1</v>
      </c>
      <c r="Q420" s="0" t="n">
        <f aca="false">IF(A420="二子玉川",1,0)</f>
        <v>0</v>
      </c>
      <c r="R420" s="0" t="n">
        <f aca="false">IF(E420=2021,1,0)</f>
        <v>0</v>
      </c>
      <c r="S420" s="0" t="n">
        <f aca="false">IF(E420=2022,1,0)</f>
        <v>0</v>
      </c>
      <c r="T420" s="0" t="n">
        <f aca="false">IF(E420=2023,1,0)</f>
        <v>0</v>
      </c>
      <c r="U420" s="0" t="n">
        <f aca="false">IF(E420=2024,1,0)</f>
        <v>1</v>
      </c>
    </row>
    <row r="421" customFormat="false" ht="15" hidden="false" customHeight="false" outlineLevel="0" collapsed="false">
      <c r="A421" s="1" t="s">
        <v>12</v>
      </c>
      <c r="B421" s="0" t="n">
        <v>11</v>
      </c>
      <c r="C421" s="0" t="n">
        <v>85</v>
      </c>
      <c r="D421" s="0" t="n">
        <v>1990</v>
      </c>
      <c r="E421" s="0" t="n">
        <v>2024</v>
      </c>
      <c r="F421" s="1" t="s">
        <v>18</v>
      </c>
      <c r="G421" s="0" t="n">
        <v>95000000</v>
      </c>
      <c r="H421" s="0" t="n">
        <f aca="false">LN(G421/C421)</f>
        <v>13.9267361930745</v>
      </c>
      <c r="I421" s="0" t="n">
        <f aca="false">B421</f>
        <v>11</v>
      </c>
      <c r="J421" s="0" t="n">
        <f aca="false">E421-D421</f>
        <v>34</v>
      </c>
      <c r="K421" s="0" t="n">
        <f aca="false">C421</f>
        <v>85</v>
      </c>
      <c r="L421" s="0" t="n">
        <f aca="false">IF(F421="改装済み",1,0)</f>
        <v>1</v>
      </c>
      <c r="M421" s="0" t="n">
        <f aca="false">IF(A421="池尻大橋",1,0)</f>
        <v>0</v>
      </c>
      <c r="N421" s="0" t="n">
        <f aca="false">IF(A421="三軒茶屋",1,0)</f>
        <v>0</v>
      </c>
      <c r="O421" s="0" t="n">
        <f aca="false">IF(A421="駒沢大学",1,0)</f>
        <v>0</v>
      </c>
      <c r="P421" s="0" t="n">
        <f aca="false">IF(A421="桜新町",1,0)</f>
        <v>1</v>
      </c>
      <c r="Q421" s="0" t="n">
        <f aca="false">IF(A421="二子玉川",1,0)</f>
        <v>0</v>
      </c>
      <c r="R421" s="0" t="n">
        <f aca="false">IF(E421=2021,1,0)</f>
        <v>0</v>
      </c>
      <c r="S421" s="0" t="n">
        <f aca="false">IF(E421=2022,1,0)</f>
        <v>0</v>
      </c>
      <c r="T421" s="0" t="n">
        <f aca="false">IF(E421=2023,1,0)</f>
        <v>0</v>
      </c>
      <c r="U421" s="0" t="n">
        <f aca="false">IF(E421=2024,1,0)</f>
        <v>1</v>
      </c>
    </row>
    <row r="422" customFormat="false" ht="15" hidden="false" customHeight="false" outlineLevel="0" collapsed="false">
      <c r="A422" s="1" t="s">
        <v>12</v>
      </c>
      <c r="B422" s="0" t="n">
        <v>8</v>
      </c>
      <c r="C422" s="0" t="n">
        <v>100</v>
      </c>
      <c r="D422" s="0" t="n">
        <v>2002</v>
      </c>
      <c r="E422" s="0" t="n">
        <v>2024</v>
      </c>
      <c r="F422" s="1" t="s">
        <v>19</v>
      </c>
      <c r="G422" s="0" t="n">
        <v>120000000</v>
      </c>
      <c r="H422" s="0" t="n">
        <f aca="false">LN(G422/C422)</f>
        <v>13.9978321147582</v>
      </c>
      <c r="I422" s="0" t="n">
        <f aca="false">B422</f>
        <v>8</v>
      </c>
      <c r="J422" s="0" t="n">
        <f aca="false">E422-D422</f>
        <v>22</v>
      </c>
      <c r="K422" s="0" t="n">
        <f aca="false">C422</f>
        <v>100</v>
      </c>
      <c r="L422" s="0" t="n">
        <f aca="false">IF(F422="改装済み",1,0)</f>
        <v>0</v>
      </c>
      <c r="M422" s="0" t="n">
        <f aca="false">IF(A422="池尻大橋",1,0)</f>
        <v>0</v>
      </c>
      <c r="N422" s="0" t="n">
        <f aca="false">IF(A422="三軒茶屋",1,0)</f>
        <v>0</v>
      </c>
      <c r="O422" s="0" t="n">
        <f aca="false">IF(A422="駒沢大学",1,0)</f>
        <v>0</v>
      </c>
      <c r="P422" s="0" t="n">
        <f aca="false">IF(A422="桜新町",1,0)</f>
        <v>1</v>
      </c>
      <c r="Q422" s="0" t="n">
        <f aca="false">IF(A422="二子玉川",1,0)</f>
        <v>0</v>
      </c>
      <c r="R422" s="0" t="n">
        <f aca="false">IF(E422=2021,1,0)</f>
        <v>0</v>
      </c>
      <c r="S422" s="0" t="n">
        <f aca="false">IF(E422=2022,1,0)</f>
        <v>0</v>
      </c>
      <c r="T422" s="0" t="n">
        <f aca="false">IF(E422=2023,1,0)</f>
        <v>0</v>
      </c>
      <c r="U422" s="0" t="n">
        <f aca="false">IF(E422=2024,1,0)</f>
        <v>1</v>
      </c>
    </row>
    <row r="423" customFormat="false" ht="15" hidden="false" customHeight="false" outlineLevel="0" collapsed="false">
      <c r="A423" s="1" t="s">
        <v>12</v>
      </c>
      <c r="B423" s="0" t="n">
        <v>10</v>
      </c>
      <c r="C423" s="0" t="n">
        <v>65</v>
      </c>
      <c r="D423" s="0" t="n">
        <v>2000</v>
      </c>
      <c r="E423" s="0" t="n">
        <v>2024</v>
      </c>
      <c r="F423" s="1" t="s">
        <v>19</v>
      </c>
      <c r="G423" s="0" t="n">
        <v>73000000</v>
      </c>
      <c r="H423" s="0" t="n">
        <f aca="false">LN(G423/C423)</f>
        <v>13.931582729217</v>
      </c>
      <c r="I423" s="0" t="n">
        <f aca="false">B423</f>
        <v>10</v>
      </c>
      <c r="J423" s="0" t="n">
        <f aca="false">E423-D423</f>
        <v>24</v>
      </c>
      <c r="K423" s="0" t="n">
        <f aca="false">C423</f>
        <v>65</v>
      </c>
      <c r="L423" s="0" t="n">
        <f aca="false">IF(F423="改装済み",1,0)</f>
        <v>0</v>
      </c>
      <c r="M423" s="0" t="n">
        <f aca="false">IF(A423="池尻大橋",1,0)</f>
        <v>0</v>
      </c>
      <c r="N423" s="0" t="n">
        <f aca="false">IF(A423="三軒茶屋",1,0)</f>
        <v>0</v>
      </c>
      <c r="O423" s="0" t="n">
        <f aca="false">IF(A423="駒沢大学",1,0)</f>
        <v>0</v>
      </c>
      <c r="P423" s="0" t="n">
        <f aca="false">IF(A423="桜新町",1,0)</f>
        <v>1</v>
      </c>
      <c r="Q423" s="0" t="n">
        <f aca="false">IF(A423="二子玉川",1,0)</f>
        <v>0</v>
      </c>
      <c r="R423" s="0" t="n">
        <f aca="false">IF(E423=2021,1,0)</f>
        <v>0</v>
      </c>
      <c r="S423" s="0" t="n">
        <f aca="false">IF(E423=2022,1,0)</f>
        <v>0</v>
      </c>
      <c r="T423" s="0" t="n">
        <f aca="false">IF(E423=2023,1,0)</f>
        <v>0</v>
      </c>
      <c r="U423" s="0" t="n">
        <f aca="false">IF(E423=2024,1,0)</f>
        <v>1</v>
      </c>
    </row>
    <row r="424" customFormat="false" ht="15" hidden="false" customHeight="false" outlineLevel="0" collapsed="false">
      <c r="A424" s="1" t="s">
        <v>12</v>
      </c>
      <c r="B424" s="0" t="n">
        <v>11</v>
      </c>
      <c r="C424" s="0" t="n">
        <v>85</v>
      </c>
      <c r="D424" s="0" t="n">
        <v>2013</v>
      </c>
      <c r="E424" s="0" t="n">
        <v>2024</v>
      </c>
      <c r="F424" s="1" t="s">
        <v>18</v>
      </c>
      <c r="G424" s="0" t="n">
        <v>130000000</v>
      </c>
      <c r="H424" s="0" t="n">
        <f aca="false">LN(G424/C424)</f>
        <v>14.2403937519295</v>
      </c>
      <c r="I424" s="0" t="n">
        <f aca="false">B424</f>
        <v>11</v>
      </c>
      <c r="J424" s="0" t="n">
        <f aca="false">E424-D424</f>
        <v>11</v>
      </c>
      <c r="K424" s="0" t="n">
        <f aca="false">C424</f>
        <v>85</v>
      </c>
      <c r="L424" s="0" t="n">
        <f aca="false">IF(F424="改装済み",1,0)</f>
        <v>1</v>
      </c>
      <c r="M424" s="0" t="n">
        <f aca="false">IF(A424="池尻大橋",1,0)</f>
        <v>0</v>
      </c>
      <c r="N424" s="0" t="n">
        <f aca="false">IF(A424="三軒茶屋",1,0)</f>
        <v>0</v>
      </c>
      <c r="O424" s="0" t="n">
        <f aca="false">IF(A424="駒沢大学",1,0)</f>
        <v>0</v>
      </c>
      <c r="P424" s="0" t="n">
        <f aca="false">IF(A424="桜新町",1,0)</f>
        <v>1</v>
      </c>
      <c r="Q424" s="0" t="n">
        <f aca="false">IF(A424="二子玉川",1,0)</f>
        <v>0</v>
      </c>
      <c r="R424" s="0" t="n">
        <f aca="false">IF(E424=2021,1,0)</f>
        <v>0</v>
      </c>
      <c r="S424" s="0" t="n">
        <f aca="false">IF(E424=2022,1,0)</f>
        <v>0</v>
      </c>
      <c r="T424" s="0" t="n">
        <f aca="false">IF(E424=2023,1,0)</f>
        <v>0</v>
      </c>
      <c r="U424" s="0" t="n">
        <f aca="false">IF(E424=2024,1,0)</f>
        <v>1</v>
      </c>
    </row>
    <row r="425" customFormat="false" ht="15" hidden="false" customHeight="false" outlineLevel="0" collapsed="false">
      <c r="A425" s="1" t="s">
        <v>12</v>
      </c>
      <c r="B425" s="0" t="n">
        <v>11</v>
      </c>
      <c r="C425" s="0" t="n">
        <v>65</v>
      </c>
      <c r="D425" s="0" t="n">
        <v>2019</v>
      </c>
      <c r="E425" s="0" t="n">
        <v>2024</v>
      </c>
      <c r="F425" s="1" t="s">
        <v>19</v>
      </c>
      <c r="G425" s="0" t="n">
        <v>130000000</v>
      </c>
      <c r="H425" s="0" t="n">
        <f aca="false">LN(G425/C425)</f>
        <v>14.5086577385242</v>
      </c>
      <c r="I425" s="0" t="n">
        <f aca="false">B425</f>
        <v>11</v>
      </c>
      <c r="J425" s="0" t="n">
        <f aca="false">E425-D425</f>
        <v>5</v>
      </c>
      <c r="K425" s="0" t="n">
        <f aca="false">C425</f>
        <v>65</v>
      </c>
      <c r="L425" s="0" t="n">
        <f aca="false">IF(F425="改装済み",1,0)</f>
        <v>0</v>
      </c>
      <c r="M425" s="0" t="n">
        <f aca="false">IF(A425="池尻大橋",1,0)</f>
        <v>0</v>
      </c>
      <c r="N425" s="0" t="n">
        <f aca="false">IF(A425="三軒茶屋",1,0)</f>
        <v>0</v>
      </c>
      <c r="O425" s="0" t="n">
        <f aca="false">IF(A425="駒沢大学",1,0)</f>
        <v>0</v>
      </c>
      <c r="P425" s="0" t="n">
        <f aca="false">IF(A425="桜新町",1,0)</f>
        <v>1</v>
      </c>
      <c r="Q425" s="0" t="n">
        <f aca="false">IF(A425="二子玉川",1,0)</f>
        <v>0</v>
      </c>
      <c r="R425" s="0" t="n">
        <f aca="false">IF(E425=2021,1,0)</f>
        <v>0</v>
      </c>
      <c r="S425" s="0" t="n">
        <f aca="false">IF(E425=2022,1,0)</f>
        <v>0</v>
      </c>
      <c r="T425" s="0" t="n">
        <f aca="false">IF(E425=2023,1,0)</f>
        <v>0</v>
      </c>
      <c r="U425" s="0" t="n">
        <f aca="false">IF(E425=2024,1,0)</f>
        <v>1</v>
      </c>
    </row>
    <row r="426" customFormat="false" ht="15" hidden="false" customHeight="false" outlineLevel="0" collapsed="false">
      <c r="A426" s="1" t="s">
        <v>12</v>
      </c>
      <c r="B426" s="0" t="n">
        <v>6</v>
      </c>
      <c r="C426" s="0" t="n">
        <v>50</v>
      </c>
      <c r="D426" s="0" t="n">
        <v>1985</v>
      </c>
      <c r="E426" s="0" t="n">
        <v>2023</v>
      </c>
      <c r="F426" s="1" t="s">
        <v>18</v>
      </c>
      <c r="G426" s="0" t="n">
        <v>56000000</v>
      </c>
      <c r="H426" s="0" t="n">
        <f aca="false">LN(G426/C426)</f>
        <v>13.9288392432713</v>
      </c>
      <c r="I426" s="0" t="n">
        <f aca="false">B426</f>
        <v>6</v>
      </c>
      <c r="J426" s="0" t="n">
        <f aca="false">E426-D426</f>
        <v>38</v>
      </c>
      <c r="K426" s="0" t="n">
        <f aca="false">C426</f>
        <v>50</v>
      </c>
      <c r="L426" s="0" t="n">
        <f aca="false">IF(F426="改装済み",1,0)</f>
        <v>1</v>
      </c>
      <c r="M426" s="0" t="n">
        <f aca="false">IF(A426="池尻大橋",1,0)</f>
        <v>0</v>
      </c>
      <c r="N426" s="0" t="n">
        <f aca="false">IF(A426="三軒茶屋",1,0)</f>
        <v>0</v>
      </c>
      <c r="O426" s="0" t="n">
        <f aca="false">IF(A426="駒沢大学",1,0)</f>
        <v>0</v>
      </c>
      <c r="P426" s="0" t="n">
        <f aca="false">IF(A426="桜新町",1,0)</f>
        <v>1</v>
      </c>
      <c r="Q426" s="0" t="n">
        <f aca="false">IF(A426="二子玉川",1,0)</f>
        <v>0</v>
      </c>
      <c r="R426" s="0" t="n">
        <f aca="false">IF(E426=2021,1,0)</f>
        <v>0</v>
      </c>
      <c r="S426" s="0" t="n">
        <f aca="false">IF(E426=2022,1,0)</f>
        <v>0</v>
      </c>
      <c r="T426" s="0" t="n">
        <f aca="false">IF(E426=2023,1,0)</f>
        <v>1</v>
      </c>
      <c r="U426" s="0" t="n">
        <f aca="false">IF(E426=2024,1,0)</f>
        <v>0</v>
      </c>
    </row>
    <row r="427" customFormat="false" ht="15" hidden="false" customHeight="false" outlineLevel="0" collapsed="false">
      <c r="A427" s="1" t="s">
        <v>12</v>
      </c>
      <c r="B427" s="0" t="n">
        <v>12</v>
      </c>
      <c r="C427" s="0" t="n">
        <v>50</v>
      </c>
      <c r="D427" s="0" t="n">
        <v>1971</v>
      </c>
      <c r="E427" s="0" t="n">
        <v>2023</v>
      </c>
      <c r="F427" s="1" t="s">
        <v>18</v>
      </c>
      <c r="G427" s="0" t="n">
        <v>33000000</v>
      </c>
      <c r="H427" s="0" t="n">
        <f aca="false">LN(G427/C427)</f>
        <v>13.3999951140026</v>
      </c>
      <c r="I427" s="0" t="n">
        <f aca="false">B427</f>
        <v>12</v>
      </c>
      <c r="J427" s="0" t="n">
        <f aca="false">E427-D427</f>
        <v>52</v>
      </c>
      <c r="K427" s="0" t="n">
        <f aca="false">C427</f>
        <v>50</v>
      </c>
      <c r="L427" s="0" t="n">
        <f aca="false">IF(F427="改装済み",1,0)</f>
        <v>1</v>
      </c>
      <c r="M427" s="0" t="n">
        <f aca="false">IF(A427="池尻大橋",1,0)</f>
        <v>0</v>
      </c>
      <c r="N427" s="0" t="n">
        <f aca="false">IF(A427="三軒茶屋",1,0)</f>
        <v>0</v>
      </c>
      <c r="O427" s="0" t="n">
        <f aca="false">IF(A427="駒沢大学",1,0)</f>
        <v>0</v>
      </c>
      <c r="P427" s="0" t="n">
        <f aca="false">IF(A427="桜新町",1,0)</f>
        <v>1</v>
      </c>
      <c r="Q427" s="0" t="n">
        <f aca="false">IF(A427="二子玉川",1,0)</f>
        <v>0</v>
      </c>
      <c r="R427" s="0" t="n">
        <f aca="false">IF(E427=2021,1,0)</f>
        <v>0</v>
      </c>
      <c r="S427" s="0" t="n">
        <f aca="false">IF(E427=2022,1,0)</f>
        <v>0</v>
      </c>
      <c r="T427" s="0" t="n">
        <f aca="false">IF(E427=2023,1,0)</f>
        <v>1</v>
      </c>
      <c r="U427" s="0" t="n">
        <f aca="false">IF(E427=2024,1,0)</f>
        <v>0</v>
      </c>
    </row>
    <row r="428" customFormat="false" ht="15" hidden="false" customHeight="false" outlineLevel="0" collapsed="false">
      <c r="A428" s="1" t="s">
        <v>12</v>
      </c>
      <c r="B428" s="0" t="n">
        <v>12</v>
      </c>
      <c r="C428" s="0" t="n">
        <v>50</v>
      </c>
      <c r="D428" s="0" t="n">
        <v>1971</v>
      </c>
      <c r="E428" s="0" t="n">
        <v>2023</v>
      </c>
      <c r="F428" s="1" t="s">
        <v>18</v>
      </c>
      <c r="G428" s="0" t="n">
        <v>37000000</v>
      </c>
      <c r="H428" s="0" t="n">
        <f aca="false">LN(G428/C428)</f>
        <v>13.5144054651804</v>
      </c>
      <c r="I428" s="0" t="n">
        <f aca="false">B428</f>
        <v>12</v>
      </c>
      <c r="J428" s="0" t="n">
        <f aca="false">E428-D428</f>
        <v>52</v>
      </c>
      <c r="K428" s="0" t="n">
        <f aca="false">C428</f>
        <v>50</v>
      </c>
      <c r="L428" s="0" t="n">
        <f aca="false">IF(F428="改装済み",1,0)</f>
        <v>1</v>
      </c>
      <c r="M428" s="0" t="n">
        <f aca="false">IF(A428="池尻大橋",1,0)</f>
        <v>0</v>
      </c>
      <c r="N428" s="0" t="n">
        <f aca="false">IF(A428="三軒茶屋",1,0)</f>
        <v>0</v>
      </c>
      <c r="O428" s="0" t="n">
        <f aca="false">IF(A428="駒沢大学",1,0)</f>
        <v>0</v>
      </c>
      <c r="P428" s="0" t="n">
        <f aca="false">IF(A428="桜新町",1,0)</f>
        <v>1</v>
      </c>
      <c r="Q428" s="0" t="n">
        <f aca="false">IF(A428="二子玉川",1,0)</f>
        <v>0</v>
      </c>
      <c r="R428" s="0" t="n">
        <f aca="false">IF(E428=2021,1,0)</f>
        <v>0</v>
      </c>
      <c r="S428" s="0" t="n">
        <f aca="false">IF(E428=2022,1,0)</f>
        <v>0</v>
      </c>
      <c r="T428" s="0" t="n">
        <f aca="false">IF(E428=2023,1,0)</f>
        <v>1</v>
      </c>
      <c r="U428" s="0" t="n">
        <f aca="false">IF(E428=2024,1,0)</f>
        <v>0</v>
      </c>
    </row>
    <row r="429" customFormat="false" ht="15" hidden="false" customHeight="false" outlineLevel="0" collapsed="false">
      <c r="A429" s="1" t="s">
        <v>12</v>
      </c>
      <c r="B429" s="0" t="n">
        <v>13</v>
      </c>
      <c r="C429" s="0" t="n">
        <v>75</v>
      </c>
      <c r="D429" s="0" t="n">
        <v>2018</v>
      </c>
      <c r="E429" s="0" t="n">
        <v>2023</v>
      </c>
      <c r="F429" s="1" t="s">
        <v>19</v>
      </c>
      <c r="G429" s="0" t="n">
        <v>98000000</v>
      </c>
      <c r="H429" s="0" t="n">
        <f aca="false">LN(G429/C429)</f>
        <v>14.0829899230985</v>
      </c>
      <c r="I429" s="0" t="n">
        <f aca="false">B429</f>
        <v>13</v>
      </c>
      <c r="J429" s="0" t="n">
        <f aca="false">E429-D429</f>
        <v>5</v>
      </c>
      <c r="K429" s="0" t="n">
        <f aca="false">C429</f>
        <v>75</v>
      </c>
      <c r="L429" s="0" t="n">
        <f aca="false">IF(F429="改装済み",1,0)</f>
        <v>0</v>
      </c>
      <c r="M429" s="0" t="n">
        <f aca="false">IF(A429="池尻大橋",1,0)</f>
        <v>0</v>
      </c>
      <c r="N429" s="0" t="n">
        <f aca="false">IF(A429="三軒茶屋",1,0)</f>
        <v>0</v>
      </c>
      <c r="O429" s="0" t="n">
        <f aca="false">IF(A429="駒沢大学",1,0)</f>
        <v>0</v>
      </c>
      <c r="P429" s="0" t="n">
        <f aca="false">IF(A429="桜新町",1,0)</f>
        <v>1</v>
      </c>
      <c r="Q429" s="0" t="n">
        <f aca="false">IF(A429="二子玉川",1,0)</f>
        <v>0</v>
      </c>
      <c r="R429" s="0" t="n">
        <f aca="false">IF(E429=2021,1,0)</f>
        <v>0</v>
      </c>
      <c r="S429" s="0" t="n">
        <f aca="false">IF(E429=2022,1,0)</f>
        <v>0</v>
      </c>
      <c r="T429" s="0" t="n">
        <f aca="false">IF(E429=2023,1,0)</f>
        <v>1</v>
      </c>
      <c r="U429" s="0" t="n">
        <f aca="false">IF(E429=2024,1,0)</f>
        <v>0</v>
      </c>
    </row>
    <row r="430" customFormat="false" ht="15" hidden="false" customHeight="false" outlineLevel="0" collapsed="false">
      <c r="A430" s="1" t="s">
        <v>12</v>
      </c>
      <c r="B430" s="0" t="n">
        <v>10</v>
      </c>
      <c r="C430" s="0" t="n">
        <v>65</v>
      </c>
      <c r="D430" s="0" t="n">
        <v>2000</v>
      </c>
      <c r="E430" s="0" t="n">
        <v>2023</v>
      </c>
      <c r="F430" s="1" t="s">
        <v>19</v>
      </c>
      <c r="G430" s="0" t="n">
        <v>74000000</v>
      </c>
      <c r="H430" s="0" t="n">
        <f aca="false">LN(G430/C430)</f>
        <v>13.9451883812728</v>
      </c>
      <c r="I430" s="0" t="n">
        <f aca="false">B430</f>
        <v>10</v>
      </c>
      <c r="J430" s="0" t="n">
        <f aca="false">E430-D430</f>
        <v>23</v>
      </c>
      <c r="K430" s="0" t="n">
        <f aca="false">C430</f>
        <v>65</v>
      </c>
      <c r="L430" s="0" t="n">
        <f aca="false">IF(F430="改装済み",1,0)</f>
        <v>0</v>
      </c>
      <c r="M430" s="0" t="n">
        <f aca="false">IF(A430="池尻大橋",1,0)</f>
        <v>0</v>
      </c>
      <c r="N430" s="0" t="n">
        <f aca="false">IF(A430="三軒茶屋",1,0)</f>
        <v>0</v>
      </c>
      <c r="O430" s="0" t="n">
        <f aca="false">IF(A430="駒沢大学",1,0)</f>
        <v>0</v>
      </c>
      <c r="P430" s="0" t="n">
        <f aca="false">IF(A430="桜新町",1,0)</f>
        <v>1</v>
      </c>
      <c r="Q430" s="0" t="n">
        <f aca="false">IF(A430="二子玉川",1,0)</f>
        <v>0</v>
      </c>
      <c r="R430" s="0" t="n">
        <f aca="false">IF(E430=2021,1,0)</f>
        <v>0</v>
      </c>
      <c r="S430" s="0" t="n">
        <f aca="false">IF(E430=2022,1,0)</f>
        <v>0</v>
      </c>
      <c r="T430" s="0" t="n">
        <f aca="false">IF(E430=2023,1,0)</f>
        <v>1</v>
      </c>
      <c r="U430" s="0" t="n">
        <f aca="false">IF(E430=2024,1,0)</f>
        <v>0</v>
      </c>
    </row>
    <row r="431" customFormat="false" ht="15" hidden="false" customHeight="false" outlineLevel="0" collapsed="false">
      <c r="A431" s="1" t="s">
        <v>12</v>
      </c>
      <c r="B431" s="0" t="n">
        <v>10</v>
      </c>
      <c r="C431" s="0" t="n">
        <v>70</v>
      </c>
      <c r="D431" s="0" t="n">
        <v>2010</v>
      </c>
      <c r="E431" s="0" t="n">
        <v>2023</v>
      </c>
      <c r="F431" s="1" t="s">
        <v>19</v>
      </c>
      <c r="G431" s="0" t="n">
        <v>78000000</v>
      </c>
      <c r="H431" s="0" t="n">
        <f aca="false">LN(G431/C431)</f>
        <v>13.9237241426045</v>
      </c>
      <c r="I431" s="0" t="n">
        <f aca="false">B431</f>
        <v>10</v>
      </c>
      <c r="J431" s="0" t="n">
        <f aca="false">E431-D431</f>
        <v>13</v>
      </c>
      <c r="K431" s="0" t="n">
        <f aca="false">C431</f>
        <v>70</v>
      </c>
      <c r="L431" s="0" t="n">
        <f aca="false">IF(F431="改装済み",1,0)</f>
        <v>0</v>
      </c>
      <c r="M431" s="0" t="n">
        <f aca="false">IF(A431="池尻大橋",1,0)</f>
        <v>0</v>
      </c>
      <c r="N431" s="0" t="n">
        <f aca="false">IF(A431="三軒茶屋",1,0)</f>
        <v>0</v>
      </c>
      <c r="O431" s="0" t="n">
        <f aca="false">IF(A431="駒沢大学",1,0)</f>
        <v>0</v>
      </c>
      <c r="P431" s="0" t="n">
        <f aca="false">IF(A431="桜新町",1,0)</f>
        <v>1</v>
      </c>
      <c r="Q431" s="0" t="n">
        <f aca="false">IF(A431="二子玉川",1,0)</f>
        <v>0</v>
      </c>
      <c r="R431" s="0" t="n">
        <f aca="false">IF(E431=2021,1,0)</f>
        <v>0</v>
      </c>
      <c r="S431" s="0" t="n">
        <f aca="false">IF(E431=2022,1,0)</f>
        <v>0</v>
      </c>
      <c r="T431" s="0" t="n">
        <f aca="false">IF(E431=2023,1,0)</f>
        <v>1</v>
      </c>
      <c r="U431" s="0" t="n">
        <f aca="false">IF(E431=2024,1,0)</f>
        <v>0</v>
      </c>
    </row>
    <row r="432" customFormat="false" ht="15" hidden="false" customHeight="false" outlineLevel="0" collapsed="false">
      <c r="A432" s="1" t="s">
        <v>12</v>
      </c>
      <c r="B432" s="0" t="n">
        <v>8</v>
      </c>
      <c r="C432" s="0" t="n">
        <v>75</v>
      </c>
      <c r="D432" s="0" t="n">
        <v>2002</v>
      </c>
      <c r="E432" s="0" t="n">
        <v>2023</v>
      </c>
      <c r="F432" s="1" t="s">
        <v>18</v>
      </c>
      <c r="G432" s="0" t="n">
        <v>93000000</v>
      </c>
      <c r="H432" s="0" t="n">
        <f aca="false">LN(G432/C432)</f>
        <v>14.0306219375812</v>
      </c>
      <c r="I432" s="0" t="n">
        <f aca="false">B432</f>
        <v>8</v>
      </c>
      <c r="J432" s="0" t="n">
        <f aca="false">E432-D432</f>
        <v>21</v>
      </c>
      <c r="K432" s="0" t="n">
        <f aca="false">C432</f>
        <v>75</v>
      </c>
      <c r="L432" s="0" t="n">
        <f aca="false">IF(F432="改装済み",1,0)</f>
        <v>1</v>
      </c>
      <c r="M432" s="0" t="n">
        <f aca="false">IF(A432="池尻大橋",1,0)</f>
        <v>0</v>
      </c>
      <c r="N432" s="0" t="n">
        <f aca="false">IF(A432="三軒茶屋",1,0)</f>
        <v>0</v>
      </c>
      <c r="O432" s="0" t="n">
        <f aca="false">IF(A432="駒沢大学",1,0)</f>
        <v>0</v>
      </c>
      <c r="P432" s="0" t="n">
        <f aca="false">IF(A432="桜新町",1,0)</f>
        <v>1</v>
      </c>
      <c r="Q432" s="0" t="n">
        <f aca="false">IF(A432="二子玉川",1,0)</f>
        <v>0</v>
      </c>
      <c r="R432" s="0" t="n">
        <f aca="false">IF(E432=2021,1,0)</f>
        <v>0</v>
      </c>
      <c r="S432" s="0" t="n">
        <f aca="false">IF(E432=2022,1,0)</f>
        <v>0</v>
      </c>
      <c r="T432" s="0" t="n">
        <f aca="false">IF(E432=2023,1,0)</f>
        <v>1</v>
      </c>
      <c r="U432" s="0" t="n">
        <f aca="false">IF(E432=2024,1,0)</f>
        <v>0</v>
      </c>
    </row>
    <row r="433" customFormat="false" ht="15" hidden="false" customHeight="false" outlineLevel="0" collapsed="false">
      <c r="A433" s="1" t="s">
        <v>12</v>
      </c>
      <c r="B433" s="0" t="n">
        <v>13</v>
      </c>
      <c r="C433" s="0" t="n">
        <v>60</v>
      </c>
      <c r="D433" s="0" t="n">
        <v>2018</v>
      </c>
      <c r="E433" s="0" t="n">
        <v>2023</v>
      </c>
      <c r="F433" s="1" t="s">
        <v>19</v>
      </c>
      <c r="G433" s="0" t="n">
        <v>82000000</v>
      </c>
      <c r="H433" s="0" t="n">
        <f aca="false">LN(G433/C433)</f>
        <v>14.1278852430064</v>
      </c>
      <c r="I433" s="0" t="n">
        <f aca="false">B433</f>
        <v>13</v>
      </c>
      <c r="J433" s="0" t="n">
        <f aca="false">E433-D433</f>
        <v>5</v>
      </c>
      <c r="K433" s="0" t="n">
        <f aca="false">C433</f>
        <v>60</v>
      </c>
      <c r="L433" s="0" t="n">
        <f aca="false">IF(F433="改装済み",1,0)</f>
        <v>0</v>
      </c>
      <c r="M433" s="0" t="n">
        <f aca="false">IF(A433="池尻大橋",1,0)</f>
        <v>0</v>
      </c>
      <c r="N433" s="0" t="n">
        <f aca="false">IF(A433="三軒茶屋",1,0)</f>
        <v>0</v>
      </c>
      <c r="O433" s="0" t="n">
        <f aca="false">IF(A433="駒沢大学",1,0)</f>
        <v>0</v>
      </c>
      <c r="P433" s="0" t="n">
        <f aca="false">IF(A433="桜新町",1,0)</f>
        <v>1</v>
      </c>
      <c r="Q433" s="0" t="n">
        <f aca="false">IF(A433="二子玉川",1,0)</f>
        <v>0</v>
      </c>
      <c r="R433" s="0" t="n">
        <f aca="false">IF(E433=2021,1,0)</f>
        <v>0</v>
      </c>
      <c r="S433" s="0" t="n">
        <f aca="false">IF(E433=2022,1,0)</f>
        <v>0</v>
      </c>
      <c r="T433" s="0" t="n">
        <f aca="false">IF(E433=2023,1,0)</f>
        <v>1</v>
      </c>
      <c r="U433" s="0" t="n">
        <f aca="false">IF(E433=2024,1,0)</f>
        <v>0</v>
      </c>
    </row>
    <row r="434" customFormat="false" ht="15" hidden="false" customHeight="false" outlineLevel="0" collapsed="false">
      <c r="A434" s="1" t="s">
        <v>12</v>
      </c>
      <c r="B434" s="0" t="n">
        <v>8</v>
      </c>
      <c r="C434" s="0" t="n">
        <v>75</v>
      </c>
      <c r="D434" s="0" t="n">
        <v>2010</v>
      </c>
      <c r="E434" s="0" t="n">
        <v>2023</v>
      </c>
      <c r="F434" s="1" t="s">
        <v>19</v>
      </c>
      <c r="G434" s="0" t="n">
        <v>95000000</v>
      </c>
      <c r="H434" s="0" t="n">
        <f aca="false">LN(G434/C434)</f>
        <v>14.0518993360285</v>
      </c>
      <c r="I434" s="0" t="n">
        <f aca="false">B434</f>
        <v>8</v>
      </c>
      <c r="J434" s="0" t="n">
        <f aca="false">E434-D434</f>
        <v>13</v>
      </c>
      <c r="K434" s="0" t="n">
        <f aca="false">C434</f>
        <v>75</v>
      </c>
      <c r="L434" s="0" t="n">
        <f aca="false">IF(F434="改装済み",1,0)</f>
        <v>0</v>
      </c>
      <c r="M434" s="0" t="n">
        <f aca="false">IF(A434="池尻大橋",1,0)</f>
        <v>0</v>
      </c>
      <c r="N434" s="0" t="n">
        <f aca="false">IF(A434="三軒茶屋",1,0)</f>
        <v>0</v>
      </c>
      <c r="O434" s="0" t="n">
        <f aca="false">IF(A434="駒沢大学",1,0)</f>
        <v>0</v>
      </c>
      <c r="P434" s="0" t="n">
        <f aca="false">IF(A434="桜新町",1,0)</f>
        <v>1</v>
      </c>
      <c r="Q434" s="0" t="n">
        <f aca="false">IF(A434="二子玉川",1,0)</f>
        <v>0</v>
      </c>
      <c r="R434" s="0" t="n">
        <f aca="false">IF(E434=2021,1,0)</f>
        <v>0</v>
      </c>
      <c r="S434" s="0" t="n">
        <f aca="false">IF(E434=2022,1,0)</f>
        <v>0</v>
      </c>
      <c r="T434" s="0" t="n">
        <f aca="false">IF(E434=2023,1,0)</f>
        <v>1</v>
      </c>
      <c r="U434" s="0" t="n">
        <f aca="false">IF(E434=2024,1,0)</f>
        <v>0</v>
      </c>
    </row>
    <row r="435" customFormat="false" ht="15" hidden="false" customHeight="false" outlineLevel="0" collapsed="false">
      <c r="A435" s="1" t="s">
        <v>12</v>
      </c>
      <c r="B435" s="0" t="n">
        <v>12</v>
      </c>
      <c r="C435" s="0" t="n">
        <v>50</v>
      </c>
      <c r="D435" s="0" t="n">
        <v>1971</v>
      </c>
      <c r="E435" s="0" t="n">
        <v>2023</v>
      </c>
      <c r="F435" s="1" t="s">
        <v>19</v>
      </c>
      <c r="G435" s="0" t="n">
        <v>25000000</v>
      </c>
      <c r="H435" s="0" t="n">
        <f aca="false">LN(G435/C435)</f>
        <v>13.1223633774043</v>
      </c>
      <c r="I435" s="0" t="n">
        <f aca="false">B435</f>
        <v>12</v>
      </c>
      <c r="J435" s="0" t="n">
        <f aca="false">E435-D435</f>
        <v>52</v>
      </c>
      <c r="K435" s="0" t="n">
        <f aca="false">C435</f>
        <v>50</v>
      </c>
      <c r="L435" s="0" t="n">
        <f aca="false">IF(F435="改装済み",1,0)</f>
        <v>0</v>
      </c>
      <c r="M435" s="0" t="n">
        <f aca="false">IF(A435="池尻大橋",1,0)</f>
        <v>0</v>
      </c>
      <c r="N435" s="0" t="n">
        <f aca="false">IF(A435="三軒茶屋",1,0)</f>
        <v>0</v>
      </c>
      <c r="O435" s="0" t="n">
        <f aca="false">IF(A435="駒沢大学",1,0)</f>
        <v>0</v>
      </c>
      <c r="P435" s="0" t="n">
        <f aca="false">IF(A435="桜新町",1,0)</f>
        <v>1</v>
      </c>
      <c r="Q435" s="0" t="n">
        <f aca="false">IF(A435="二子玉川",1,0)</f>
        <v>0</v>
      </c>
      <c r="R435" s="0" t="n">
        <f aca="false">IF(E435=2021,1,0)</f>
        <v>0</v>
      </c>
      <c r="S435" s="0" t="n">
        <f aca="false">IF(E435=2022,1,0)</f>
        <v>0</v>
      </c>
      <c r="T435" s="0" t="n">
        <f aca="false">IF(E435=2023,1,0)</f>
        <v>1</v>
      </c>
      <c r="U435" s="0" t="n">
        <f aca="false">IF(E435=2024,1,0)</f>
        <v>0</v>
      </c>
    </row>
    <row r="436" customFormat="false" ht="15" hidden="false" customHeight="false" outlineLevel="0" collapsed="false">
      <c r="A436" s="1" t="s">
        <v>12</v>
      </c>
      <c r="B436" s="0" t="n">
        <v>7</v>
      </c>
      <c r="C436" s="0" t="n">
        <v>70</v>
      </c>
      <c r="D436" s="0" t="n">
        <v>2010</v>
      </c>
      <c r="E436" s="0" t="n">
        <v>2023</v>
      </c>
      <c r="F436" s="1" t="s">
        <v>19</v>
      </c>
      <c r="G436" s="0" t="n">
        <v>58000000</v>
      </c>
      <c r="H436" s="0" t="n">
        <f aca="false">LN(G436/C436)</f>
        <v>13.6274583264613</v>
      </c>
      <c r="I436" s="0" t="n">
        <f aca="false">B436</f>
        <v>7</v>
      </c>
      <c r="J436" s="0" t="n">
        <f aca="false">E436-D436</f>
        <v>13</v>
      </c>
      <c r="K436" s="0" t="n">
        <f aca="false">C436</f>
        <v>70</v>
      </c>
      <c r="L436" s="0" t="n">
        <f aca="false">IF(F436="改装済み",1,0)</f>
        <v>0</v>
      </c>
      <c r="M436" s="0" t="n">
        <f aca="false">IF(A436="池尻大橋",1,0)</f>
        <v>0</v>
      </c>
      <c r="N436" s="0" t="n">
        <f aca="false">IF(A436="三軒茶屋",1,0)</f>
        <v>0</v>
      </c>
      <c r="O436" s="0" t="n">
        <f aca="false">IF(A436="駒沢大学",1,0)</f>
        <v>0</v>
      </c>
      <c r="P436" s="0" t="n">
        <f aca="false">IF(A436="桜新町",1,0)</f>
        <v>1</v>
      </c>
      <c r="Q436" s="0" t="n">
        <f aca="false">IF(A436="二子玉川",1,0)</f>
        <v>0</v>
      </c>
      <c r="R436" s="0" t="n">
        <f aca="false">IF(E436=2021,1,0)</f>
        <v>0</v>
      </c>
      <c r="S436" s="0" t="n">
        <f aca="false">IF(E436=2022,1,0)</f>
        <v>0</v>
      </c>
      <c r="T436" s="0" t="n">
        <f aca="false">IF(E436=2023,1,0)</f>
        <v>1</v>
      </c>
      <c r="U436" s="0" t="n">
        <f aca="false">IF(E436=2024,1,0)</f>
        <v>0</v>
      </c>
    </row>
    <row r="437" customFormat="false" ht="15" hidden="false" customHeight="false" outlineLevel="0" collapsed="false">
      <c r="A437" s="1" t="s">
        <v>12</v>
      </c>
      <c r="B437" s="0" t="n">
        <v>10</v>
      </c>
      <c r="C437" s="0" t="n">
        <v>90</v>
      </c>
      <c r="D437" s="0" t="n">
        <v>1997</v>
      </c>
      <c r="E437" s="0" t="n">
        <v>2022</v>
      </c>
      <c r="F437" s="1" t="s">
        <v>18</v>
      </c>
      <c r="G437" s="0" t="n">
        <v>130000000</v>
      </c>
      <c r="H437" s="0" t="n">
        <f aca="false">LN(G437/C437)</f>
        <v>14.1832353380896</v>
      </c>
      <c r="I437" s="0" t="n">
        <f aca="false">B437</f>
        <v>10</v>
      </c>
      <c r="J437" s="0" t="n">
        <f aca="false">E437-D437</f>
        <v>25</v>
      </c>
      <c r="K437" s="0" t="n">
        <f aca="false">C437</f>
        <v>90</v>
      </c>
      <c r="L437" s="0" t="n">
        <f aca="false">IF(F437="改装済み",1,0)</f>
        <v>1</v>
      </c>
      <c r="M437" s="0" t="n">
        <f aca="false">IF(A437="池尻大橋",1,0)</f>
        <v>0</v>
      </c>
      <c r="N437" s="0" t="n">
        <f aca="false">IF(A437="三軒茶屋",1,0)</f>
        <v>0</v>
      </c>
      <c r="O437" s="0" t="n">
        <f aca="false">IF(A437="駒沢大学",1,0)</f>
        <v>0</v>
      </c>
      <c r="P437" s="0" t="n">
        <f aca="false">IF(A437="桜新町",1,0)</f>
        <v>1</v>
      </c>
      <c r="Q437" s="0" t="n">
        <f aca="false">IF(A437="二子玉川",1,0)</f>
        <v>0</v>
      </c>
      <c r="R437" s="0" t="n">
        <f aca="false">IF(E437=2021,1,0)</f>
        <v>0</v>
      </c>
      <c r="S437" s="0" t="n">
        <f aca="false">IF(E437=2022,1,0)</f>
        <v>1</v>
      </c>
      <c r="T437" s="0" t="n">
        <f aca="false">IF(E437=2023,1,0)</f>
        <v>0</v>
      </c>
      <c r="U437" s="0" t="n">
        <f aca="false">IF(E437=2024,1,0)</f>
        <v>0</v>
      </c>
    </row>
    <row r="438" customFormat="false" ht="15" hidden="false" customHeight="false" outlineLevel="0" collapsed="false">
      <c r="A438" s="1" t="s">
        <v>12</v>
      </c>
      <c r="B438" s="0" t="n">
        <v>7</v>
      </c>
      <c r="C438" s="0" t="n">
        <v>55</v>
      </c>
      <c r="D438" s="0" t="n">
        <v>1994</v>
      </c>
      <c r="E438" s="0" t="n">
        <v>2022</v>
      </c>
      <c r="F438" s="1" t="s">
        <v>18</v>
      </c>
      <c r="G438" s="0" t="n">
        <v>59000000</v>
      </c>
      <c r="H438" s="0" t="n">
        <f aca="false">LN(G438/C438)</f>
        <v>13.8857148166375</v>
      </c>
      <c r="I438" s="0" t="n">
        <f aca="false">B438</f>
        <v>7</v>
      </c>
      <c r="J438" s="0" t="n">
        <f aca="false">E438-D438</f>
        <v>28</v>
      </c>
      <c r="K438" s="0" t="n">
        <f aca="false">C438</f>
        <v>55</v>
      </c>
      <c r="L438" s="0" t="n">
        <f aca="false">IF(F438="改装済み",1,0)</f>
        <v>1</v>
      </c>
      <c r="M438" s="0" t="n">
        <f aca="false">IF(A438="池尻大橋",1,0)</f>
        <v>0</v>
      </c>
      <c r="N438" s="0" t="n">
        <f aca="false">IF(A438="三軒茶屋",1,0)</f>
        <v>0</v>
      </c>
      <c r="O438" s="0" t="n">
        <f aca="false">IF(A438="駒沢大学",1,0)</f>
        <v>0</v>
      </c>
      <c r="P438" s="0" t="n">
        <f aca="false">IF(A438="桜新町",1,0)</f>
        <v>1</v>
      </c>
      <c r="Q438" s="0" t="n">
        <f aca="false">IF(A438="二子玉川",1,0)</f>
        <v>0</v>
      </c>
      <c r="R438" s="0" t="n">
        <f aca="false">IF(E438=2021,1,0)</f>
        <v>0</v>
      </c>
      <c r="S438" s="0" t="n">
        <f aca="false">IF(E438=2022,1,0)</f>
        <v>1</v>
      </c>
      <c r="T438" s="0" t="n">
        <f aca="false">IF(E438=2023,1,0)</f>
        <v>0</v>
      </c>
      <c r="U438" s="0" t="n">
        <f aca="false">IF(E438=2024,1,0)</f>
        <v>0</v>
      </c>
    </row>
    <row r="439" customFormat="false" ht="15" hidden="false" customHeight="false" outlineLevel="0" collapsed="false">
      <c r="A439" s="1" t="s">
        <v>12</v>
      </c>
      <c r="B439" s="0" t="n">
        <v>11</v>
      </c>
      <c r="C439" s="0" t="n">
        <v>140</v>
      </c>
      <c r="D439" s="0" t="n">
        <v>1990</v>
      </c>
      <c r="E439" s="0" t="n">
        <v>2022</v>
      </c>
      <c r="F439" s="1" t="s">
        <v>19</v>
      </c>
      <c r="G439" s="0" t="n">
        <v>98000000</v>
      </c>
      <c r="H439" s="0" t="n">
        <f aca="false">LN(G439/C439)</f>
        <v>13.4588356140255</v>
      </c>
      <c r="I439" s="0" t="n">
        <f aca="false">B439</f>
        <v>11</v>
      </c>
      <c r="J439" s="0" t="n">
        <f aca="false">E439-D439</f>
        <v>32</v>
      </c>
      <c r="K439" s="0" t="n">
        <f aca="false">C439</f>
        <v>140</v>
      </c>
      <c r="L439" s="0" t="n">
        <f aca="false">IF(F439="改装済み",1,0)</f>
        <v>0</v>
      </c>
      <c r="M439" s="0" t="n">
        <f aca="false">IF(A439="池尻大橋",1,0)</f>
        <v>0</v>
      </c>
      <c r="N439" s="0" t="n">
        <f aca="false">IF(A439="三軒茶屋",1,0)</f>
        <v>0</v>
      </c>
      <c r="O439" s="0" t="n">
        <f aca="false">IF(A439="駒沢大学",1,0)</f>
        <v>0</v>
      </c>
      <c r="P439" s="0" t="n">
        <f aca="false">IF(A439="桜新町",1,0)</f>
        <v>1</v>
      </c>
      <c r="Q439" s="0" t="n">
        <f aca="false">IF(A439="二子玉川",1,0)</f>
        <v>0</v>
      </c>
      <c r="R439" s="0" t="n">
        <f aca="false">IF(E439=2021,1,0)</f>
        <v>0</v>
      </c>
      <c r="S439" s="0" t="n">
        <f aca="false">IF(E439=2022,1,0)</f>
        <v>1</v>
      </c>
      <c r="T439" s="0" t="n">
        <f aca="false">IF(E439=2023,1,0)</f>
        <v>0</v>
      </c>
      <c r="U439" s="0" t="n">
        <f aca="false">IF(E439=2024,1,0)</f>
        <v>0</v>
      </c>
    </row>
    <row r="440" customFormat="false" ht="15" hidden="false" customHeight="false" outlineLevel="0" collapsed="false">
      <c r="A440" s="1" t="s">
        <v>12</v>
      </c>
      <c r="B440" s="0" t="n">
        <v>13</v>
      </c>
      <c r="C440" s="0" t="n">
        <v>65</v>
      </c>
      <c r="D440" s="0" t="n">
        <v>2005</v>
      </c>
      <c r="E440" s="0" t="n">
        <v>2022</v>
      </c>
      <c r="F440" s="1" t="s">
        <v>19</v>
      </c>
      <c r="G440" s="0" t="n">
        <v>74000000</v>
      </c>
      <c r="H440" s="0" t="n">
        <f aca="false">LN(G440/C440)</f>
        <v>13.9451883812728</v>
      </c>
      <c r="I440" s="0" t="n">
        <f aca="false">B440</f>
        <v>13</v>
      </c>
      <c r="J440" s="0" t="n">
        <f aca="false">E440-D440</f>
        <v>17</v>
      </c>
      <c r="K440" s="0" t="n">
        <f aca="false">C440</f>
        <v>65</v>
      </c>
      <c r="L440" s="0" t="n">
        <f aca="false">IF(F440="改装済み",1,0)</f>
        <v>0</v>
      </c>
      <c r="M440" s="0" t="n">
        <f aca="false">IF(A440="池尻大橋",1,0)</f>
        <v>0</v>
      </c>
      <c r="N440" s="0" t="n">
        <f aca="false">IF(A440="三軒茶屋",1,0)</f>
        <v>0</v>
      </c>
      <c r="O440" s="0" t="n">
        <f aca="false">IF(A440="駒沢大学",1,0)</f>
        <v>0</v>
      </c>
      <c r="P440" s="0" t="n">
        <f aca="false">IF(A440="桜新町",1,0)</f>
        <v>1</v>
      </c>
      <c r="Q440" s="0" t="n">
        <f aca="false">IF(A440="二子玉川",1,0)</f>
        <v>0</v>
      </c>
      <c r="R440" s="0" t="n">
        <f aca="false">IF(E440=2021,1,0)</f>
        <v>0</v>
      </c>
      <c r="S440" s="0" t="n">
        <f aca="false">IF(E440=2022,1,0)</f>
        <v>1</v>
      </c>
      <c r="T440" s="0" t="n">
        <f aca="false">IF(E440=2023,1,0)</f>
        <v>0</v>
      </c>
      <c r="U440" s="0" t="n">
        <f aca="false">IF(E440=2024,1,0)</f>
        <v>0</v>
      </c>
    </row>
    <row r="441" customFormat="false" ht="15" hidden="false" customHeight="false" outlineLevel="0" collapsed="false">
      <c r="A441" s="1" t="s">
        <v>12</v>
      </c>
      <c r="B441" s="0" t="n">
        <v>10</v>
      </c>
      <c r="C441" s="0" t="n">
        <v>95</v>
      </c>
      <c r="D441" s="0" t="n">
        <v>2016</v>
      </c>
      <c r="E441" s="0" t="n">
        <v>2022</v>
      </c>
      <c r="F441" s="1" t="s">
        <v>19</v>
      </c>
      <c r="G441" s="0" t="n">
        <v>150000000</v>
      </c>
      <c r="H441" s="0" t="n">
        <f aca="false">LN(G441/C441)</f>
        <v>14.27226896046</v>
      </c>
      <c r="I441" s="0" t="n">
        <f aca="false">B441</f>
        <v>10</v>
      </c>
      <c r="J441" s="0" t="n">
        <f aca="false">E441-D441</f>
        <v>6</v>
      </c>
      <c r="K441" s="0" t="n">
        <f aca="false">C441</f>
        <v>95</v>
      </c>
      <c r="L441" s="0" t="n">
        <f aca="false">IF(F441="改装済み",1,0)</f>
        <v>0</v>
      </c>
      <c r="M441" s="0" t="n">
        <f aca="false">IF(A441="池尻大橋",1,0)</f>
        <v>0</v>
      </c>
      <c r="N441" s="0" t="n">
        <f aca="false">IF(A441="三軒茶屋",1,0)</f>
        <v>0</v>
      </c>
      <c r="O441" s="0" t="n">
        <f aca="false">IF(A441="駒沢大学",1,0)</f>
        <v>0</v>
      </c>
      <c r="P441" s="0" t="n">
        <f aca="false">IF(A441="桜新町",1,0)</f>
        <v>1</v>
      </c>
      <c r="Q441" s="0" t="n">
        <f aca="false">IF(A441="二子玉川",1,0)</f>
        <v>0</v>
      </c>
      <c r="R441" s="0" t="n">
        <f aca="false">IF(E441=2021,1,0)</f>
        <v>0</v>
      </c>
      <c r="S441" s="0" t="n">
        <f aca="false">IF(E441=2022,1,0)</f>
        <v>1</v>
      </c>
      <c r="T441" s="0" t="n">
        <f aca="false">IF(E441=2023,1,0)</f>
        <v>0</v>
      </c>
      <c r="U441" s="0" t="n">
        <f aca="false">IF(E441=2024,1,0)</f>
        <v>0</v>
      </c>
    </row>
    <row r="442" customFormat="false" ht="15" hidden="false" customHeight="false" outlineLevel="0" collapsed="false">
      <c r="A442" s="1" t="s">
        <v>12</v>
      </c>
      <c r="B442" s="0" t="n">
        <v>10</v>
      </c>
      <c r="C442" s="0" t="n">
        <v>70</v>
      </c>
      <c r="D442" s="0" t="n">
        <v>1991</v>
      </c>
      <c r="E442" s="0" t="n">
        <v>2022</v>
      </c>
      <c r="F442" s="1" t="s">
        <v>19</v>
      </c>
      <c r="G442" s="0" t="n">
        <v>75000000</v>
      </c>
      <c r="H442" s="0" t="n">
        <f aca="false">LN(G442/C442)</f>
        <v>13.8845034294512</v>
      </c>
      <c r="I442" s="0" t="n">
        <f aca="false">B442</f>
        <v>10</v>
      </c>
      <c r="J442" s="0" t="n">
        <f aca="false">E442-D442</f>
        <v>31</v>
      </c>
      <c r="K442" s="0" t="n">
        <f aca="false">C442</f>
        <v>70</v>
      </c>
      <c r="L442" s="0" t="n">
        <f aca="false">IF(F442="改装済み",1,0)</f>
        <v>0</v>
      </c>
      <c r="M442" s="0" t="n">
        <f aca="false">IF(A442="池尻大橋",1,0)</f>
        <v>0</v>
      </c>
      <c r="N442" s="0" t="n">
        <f aca="false">IF(A442="三軒茶屋",1,0)</f>
        <v>0</v>
      </c>
      <c r="O442" s="0" t="n">
        <f aca="false">IF(A442="駒沢大学",1,0)</f>
        <v>0</v>
      </c>
      <c r="P442" s="0" t="n">
        <f aca="false">IF(A442="桜新町",1,0)</f>
        <v>1</v>
      </c>
      <c r="Q442" s="0" t="n">
        <f aca="false">IF(A442="二子玉川",1,0)</f>
        <v>0</v>
      </c>
      <c r="R442" s="0" t="n">
        <f aca="false">IF(E442=2021,1,0)</f>
        <v>0</v>
      </c>
      <c r="S442" s="0" t="n">
        <f aca="false">IF(E442=2022,1,0)</f>
        <v>1</v>
      </c>
      <c r="T442" s="0" t="n">
        <f aca="false">IF(E442=2023,1,0)</f>
        <v>0</v>
      </c>
      <c r="U442" s="0" t="n">
        <f aca="false">IF(E442=2024,1,0)</f>
        <v>0</v>
      </c>
    </row>
    <row r="443" customFormat="false" ht="15" hidden="false" customHeight="false" outlineLevel="0" collapsed="false">
      <c r="A443" s="1" t="s">
        <v>12</v>
      </c>
      <c r="B443" s="0" t="n">
        <v>11</v>
      </c>
      <c r="C443" s="0" t="n">
        <v>65</v>
      </c>
      <c r="D443" s="0" t="n">
        <v>2013</v>
      </c>
      <c r="E443" s="0" t="n">
        <v>2022</v>
      </c>
      <c r="F443" s="1" t="s">
        <v>19</v>
      </c>
      <c r="G443" s="0" t="n">
        <v>76000000</v>
      </c>
      <c r="H443" s="0" t="n">
        <f aca="false">LN(G443/C443)</f>
        <v>13.971856628355</v>
      </c>
      <c r="I443" s="0" t="n">
        <f aca="false">B443</f>
        <v>11</v>
      </c>
      <c r="J443" s="0" t="n">
        <f aca="false">E443-D443</f>
        <v>9</v>
      </c>
      <c r="K443" s="0" t="n">
        <f aca="false">C443</f>
        <v>65</v>
      </c>
      <c r="L443" s="0" t="n">
        <f aca="false">IF(F443="改装済み",1,0)</f>
        <v>0</v>
      </c>
      <c r="M443" s="0" t="n">
        <f aca="false">IF(A443="池尻大橋",1,0)</f>
        <v>0</v>
      </c>
      <c r="N443" s="0" t="n">
        <f aca="false">IF(A443="三軒茶屋",1,0)</f>
        <v>0</v>
      </c>
      <c r="O443" s="0" t="n">
        <f aca="false">IF(A443="駒沢大学",1,0)</f>
        <v>0</v>
      </c>
      <c r="P443" s="0" t="n">
        <f aca="false">IF(A443="桜新町",1,0)</f>
        <v>1</v>
      </c>
      <c r="Q443" s="0" t="n">
        <f aca="false">IF(A443="二子玉川",1,0)</f>
        <v>0</v>
      </c>
      <c r="R443" s="0" t="n">
        <f aca="false">IF(E443=2021,1,0)</f>
        <v>0</v>
      </c>
      <c r="S443" s="0" t="n">
        <f aca="false">IF(E443=2022,1,0)</f>
        <v>1</v>
      </c>
      <c r="T443" s="0" t="n">
        <f aca="false">IF(E443=2023,1,0)</f>
        <v>0</v>
      </c>
      <c r="U443" s="0" t="n">
        <f aca="false">IF(E443=2024,1,0)</f>
        <v>0</v>
      </c>
    </row>
    <row r="444" customFormat="false" ht="15" hidden="false" customHeight="false" outlineLevel="0" collapsed="false">
      <c r="A444" s="1" t="s">
        <v>12</v>
      </c>
      <c r="B444" s="0" t="n">
        <v>10</v>
      </c>
      <c r="C444" s="0" t="n">
        <v>85</v>
      </c>
      <c r="D444" s="0" t="n">
        <v>1991</v>
      </c>
      <c r="E444" s="0" t="n">
        <v>2022</v>
      </c>
      <c r="F444" s="1" t="s">
        <v>18</v>
      </c>
      <c r="G444" s="0" t="n">
        <v>96000000</v>
      </c>
      <c r="H444" s="0" t="n">
        <f aca="false">LN(G444/C444)</f>
        <v>13.9372074929418</v>
      </c>
      <c r="I444" s="0" t="n">
        <f aca="false">B444</f>
        <v>10</v>
      </c>
      <c r="J444" s="0" t="n">
        <f aca="false">E444-D444</f>
        <v>31</v>
      </c>
      <c r="K444" s="0" t="n">
        <f aca="false">C444</f>
        <v>85</v>
      </c>
      <c r="L444" s="0" t="n">
        <f aca="false">IF(F444="改装済み",1,0)</f>
        <v>1</v>
      </c>
      <c r="M444" s="0" t="n">
        <f aca="false">IF(A444="池尻大橋",1,0)</f>
        <v>0</v>
      </c>
      <c r="N444" s="0" t="n">
        <f aca="false">IF(A444="三軒茶屋",1,0)</f>
        <v>0</v>
      </c>
      <c r="O444" s="0" t="n">
        <f aca="false">IF(A444="駒沢大学",1,0)</f>
        <v>0</v>
      </c>
      <c r="P444" s="0" t="n">
        <f aca="false">IF(A444="桜新町",1,0)</f>
        <v>1</v>
      </c>
      <c r="Q444" s="0" t="n">
        <f aca="false">IF(A444="二子玉川",1,0)</f>
        <v>0</v>
      </c>
      <c r="R444" s="0" t="n">
        <f aca="false">IF(E444=2021,1,0)</f>
        <v>0</v>
      </c>
      <c r="S444" s="0" t="n">
        <f aca="false">IF(E444=2022,1,0)</f>
        <v>1</v>
      </c>
      <c r="T444" s="0" t="n">
        <f aca="false">IF(E444=2023,1,0)</f>
        <v>0</v>
      </c>
      <c r="U444" s="0" t="n">
        <f aca="false">IF(E444=2024,1,0)</f>
        <v>0</v>
      </c>
    </row>
    <row r="445" customFormat="false" ht="15" hidden="false" customHeight="false" outlineLevel="0" collapsed="false">
      <c r="A445" s="1" t="s">
        <v>12</v>
      </c>
      <c r="B445" s="0" t="n">
        <v>10</v>
      </c>
      <c r="C445" s="0" t="n">
        <v>50</v>
      </c>
      <c r="D445" s="0" t="n">
        <v>2013</v>
      </c>
      <c r="E445" s="0" t="n">
        <v>2022</v>
      </c>
      <c r="F445" s="1" t="s">
        <v>19</v>
      </c>
      <c r="G445" s="0" t="n">
        <v>65000000</v>
      </c>
      <c r="H445" s="0" t="n">
        <f aca="false">LN(G445/C445)</f>
        <v>14.0778748224318</v>
      </c>
      <c r="I445" s="0" t="n">
        <f aca="false">B445</f>
        <v>10</v>
      </c>
      <c r="J445" s="0" t="n">
        <f aca="false">E445-D445</f>
        <v>9</v>
      </c>
      <c r="K445" s="0" t="n">
        <f aca="false">C445</f>
        <v>50</v>
      </c>
      <c r="L445" s="0" t="n">
        <f aca="false">IF(F445="改装済み",1,0)</f>
        <v>0</v>
      </c>
      <c r="M445" s="0" t="n">
        <f aca="false">IF(A445="池尻大橋",1,0)</f>
        <v>0</v>
      </c>
      <c r="N445" s="0" t="n">
        <f aca="false">IF(A445="三軒茶屋",1,0)</f>
        <v>0</v>
      </c>
      <c r="O445" s="0" t="n">
        <f aca="false">IF(A445="駒沢大学",1,0)</f>
        <v>0</v>
      </c>
      <c r="P445" s="0" t="n">
        <f aca="false">IF(A445="桜新町",1,0)</f>
        <v>1</v>
      </c>
      <c r="Q445" s="0" t="n">
        <f aca="false">IF(A445="二子玉川",1,0)</f>
        <v>0</v>
      </c>
      <c r="R445" s="0" t="n">
        <f aca="false">IF(E445=2021,1,0)</f>
        <v>0</v>
      </c>
      <c r="S445" s="0" t="n">
        <f aca="false">IF(E445=2022,1,0)</f>
        <v>1</v>
      </c>
      <c r="T445" s="0" t="n">
        <f aca="false">IF(E445=2023,1,0)</f>
        <v>0</v>
      </c>
      <c r="U445" s="0" t="n">
        <f aca="false">IF(E445=2024,1,0)</f>
        <v>0</v>
      </c>
    </row>
    <row r="446" customFormat="false" ht="15" hidden="false" customHeight="false" outlineLevel="0" collapsed="false">
      <c r="A446" s="1" t="s">
        <v>12</v>
      </c>
      <c r="B446" s="0" t="n">
        <v>7</v>
      </c>
      <c r="C446" s="0" t="n">
        <v>55</v>
      </c>
      <c r="D446" s="0" t="n">
        <v>1994</v>
      </c>
      <c r="E446" s="0" t="n">
        <v>2022</v>
      </c>
      <c r="F446" s="1" t="s">
        <v>19</v>
      </c>
      <c r="G446" s="0" t="n">
        <v>53000000</v>
      </c>
      <c r="H446" s="0" t="n">
        <f aca="false">LN(G446/C446)</f>
        <v>13.7784692862839</v>
      </c>
      <c r="I446" s="0" t="n">
        <f aca="false">B446</f>
        <v>7</v>
      </c>
      <c r="J446" s="0" t="n">
        <f aca="false">E446-D446</f>
        <v>28</v>
      </c>
      <c r="K446" s="0" t="n">
        <f aca="false">C446</f>
        <v>55</v>
      </c>
      <c r="L446" s="0" t="n">
        <f aca="false">IF(F446="改装済み",1,0)</f>
        <v>0</v>
      </c>
      <c r="M446" s="0" t="n">
        <f aca="false">IF(A446="池尻大橋",1,0)</f>
        <v>0</v>
      </c>
      <c r="N446" s="0" t="n">
        <f aca="false">IF(A446="三軒茶屋",1,0)</f>
        <v>0</v>
      </c>
      <c r="O446" s="0" t="n">
        <f aca="false">IF(A446="駒沢大学",1,0)</f>
        <v>0</v>
      </c>
      <c r="P446" s="0" t="n">
        <f aca="false">IF(A446="桜新町",1,0)</f>
        <v>1</v>
      </c>
      <c r="Q446" s="0" t="n">
        <f aca="false">IF(A446="二子玉川",1,0)</f>
        <v>0</v>
      </c>
      <c r="R446" s="0" t="n">
        <f aca="false">IF(E446=2021,1,0)</f>
        <v>0</v>
      </c>
      <c r="S446" s="0" t="n">
        <f aca="false">IF(E446=2022,1,0)</f>
        <v>1</v>
      </c>
      <c r="T446" s="0" t="n">
        <f aca="false">IF(E446=2023,1,0)</f>
        <v>0</v>
      </c>
      <c r="U446" s="0" t="n">
        <f aca="false">IF(E446=2024,1,0)</f>
        <v>0</v>
      </c>
    </row>
    <row r="447" customFormat="false" ht="15" hidden="false" customHeight="false" outlineLevel="0" collapsed="false">
      <c r="A447" s="1" t="s">
        <v>12</v>
      </c>
      <c r="B447" s="0" t="n">
        <v>15</v>
      </c>
      <c r="C447" s="0" t="n">
        <v>65</v>
      </c>
      <c r="D447" s="0" t="n">
        <v>1994</v>
      </c>
      <c r="E447" s="0" t="n">
        <v>2022</v>
      </c>
      <c r="F447" s="1" t="s">
        <v>19</v>
      </c>
      <c r="G447" s="0" t="n">
        <v>62000000</v>
      </c>
      <c r="H447" s="0" t="n">
        <f aca="false">LN(G447/C447)</f>
        <v>13.7682576731137</v>
      </c>
      <c r="I447" s="0" t="n">
        <f aca="false">B447</f>
        <v>15</v>
      </c>
      <c r="J447" s="0" t="n">
        <f aca="false">E447-D447</f>
        <v>28</v>
      </c>
      <c r="K447" s="0" t="n">
        <f aca="false">C447</f>
        <v>65</v>
      </c>
      <c r="L447" s="0" t="n">
        <f aca="false">IF(F447="改装済み",1,0)</f>
        <v>0</v>
      </c>
      <c r="M447" s="0" t="n">
        <f aca="false">IF(A447="池尻大橋",1,0)</f>
        <v>0</v>
      </c>
      <c r="N447" s="0" t="n">
        <f aca="false">IF(A447="三軒茶屋",1,0)</f>
        <v>0</v>
      </c>
      <c r="O447" s="0" t="n">
        <f aca="false">IF(A447="駒沢大学",1,0)</f>
        <v>0</v>
      </c>
      <c r="P447" s="0" t="n">
        <f aca="false">IF(A447="桜新町",1,0)</f>
        <v>1</v>
      </c>
      <c r="Q447" s="0" t="n">
        <f aca="false">IF(A447="二子玉川",1,0)</f>
        <v>0</v>
      </c>
      <c r="R447" s="0" t="n">
        <f aca="false">IF(E447=2021,1,0)</f>
        <v>0</v>
      </c>
      <c r="S447" s="0" t="n">
        <f aca="false">IF(E447=2022,1,0)</f>
        <v>1</v>
      </c>
      <c r="T447" s="0" t="n">
        <f aca="false">IF(E447=2023,1,0)</f>
        <v>0</v>
      </c>
      <c r="U447" s="0" t="n">
        <f aca="false">IF(E447=2024,1,0)</f>
        <v>0</v>
      </c>
    </row>
    <row r="448" customFormat="false" ht="15" hidden="false" customHeight="false" outlineLevel="0" collapsed="false">
      <c r="A448" s="1" t="s">
        <v>12</v>
      </c>
      <c r="B448" s="0" t="n">
        <v>10</v>
      </c>
      <c r="C448" s="0" t="n">
        <v>115</v>
      </c>
      <c r="D448" s="0" t="n">
        <v>1991</v>
      </c>
      <c r="E448" s="0" t="n">
        <v>2022</v>
      </c>
      <c r="F448" s="1" t="s">
        <v>19</v>
      </c>
      <c r="G448" s="0" t="n">
        <v>110000000</v>
      </c>
      <c r="H448" s="0" t="n">
        <f aca="false">LN(G448/C448)</f>
        <v>13.7710587953934</v>
      </c>
      <c r="I448" s="0" t="n">
        <f aca="false">B448</f>
        <v>10</v>
      </c>
      <c r="J448" s="0" t="n">
        <f aca="false">E448-D448</f>
        <v>31</v>
      </c>
      <c r="K448" s="0" t="n">
        <f aca="false">C448</f>
        <v>115</v>
      </c>
      <c r="L448" s="0" t="n">
        <f aca="false">IF(F448="改装済み",1,0)</f>
        <v>0</v>
      </c>
      <c r="M448" s="0" t="n">
        <f aca="false">IF(A448="池尻大橋",1,0)</f>
        <v>0</v>
      </c>
      <c r="N448" s="0" t="n">
        <f aca="false">IF(A448="三軒茶屋",1,0)</f>
        <v>0</v>
      </c>
      <c r="O448" s="0" t="n">
        <f aca="false">IF(A448="駒沢大学",1,0)</f>
        <v>0</v>
      </c>
      <c r="P448" s="0" t="n">
        <f aca="false">IF(A448="桜新町",1,0)</f>
        <v>1</v>
      </c>
      <c r="Q448" s="0" t="n">
        <f aca="false">IF(A448="二子玉川",1,0)</f>
        <v>0</v>
      </c>
      <c r="R448" s="0" t="n">
        <f aca="false">IF(E448=2021,1,0)</f>
        <v>0</v>
      </c>
      <c r="S448" s="0" t="n">
        <f aca="false">IF(E448=2022,1,0)</f>
        <v>1</v>
      </c>
      <c r="T448" s="0" t="n">
        <f aca="false">IF(E448=2023,1,0)</f>
        <v>0</v>
      </c>
      <c r="U448" s="0" t="n">
        <f aca="false">IF(E448=2024,1,0)</f>
        <v>0</v>
      </c>
    </row>
    <row r="449" customFormat="false" ht="15" hidden="false" customHeight="false" outlineLevel="0" collapsed="false">
      <c r="A449" s="1" t="s">
        <v>12</v>
      </c>
      <c r="B449" s="0" t="n">
        <v>13</v>
      </c>
      <c r="C449" s="0" t="n">
        <v>70</v>
      </c>
      <c r="D449" s="0" t="n">
        <v>2018</v>
      </c>
      <c r="E449" s="0" t="n">
        <v>2021</v>
      </c>
      <c r="F449" s="1" t="s">
        <v>19</v>
      </c>
      <c r="G449" s="0" t="n">
        <v>77000000</v>
      </c>
      <c r="H449" s="0" t="n">
        <f aca="false">LN(G449/C449)</f>
        <v>13.9108207377686</v>
      </c>
      <c r="I449" s="0" t="n">
        <f aca="false">B449</f>
        <v>13</v>
      </c>
      <c r="J449" s="0" t="n">
        <f aca="false">E449-D449</f>
        <v>3</v>
      </c>
      <c r="K449" s="0" t="n">
        <f aca="false">C449</f>
        <v>70</v>
      </c>
      <c r="L449" s="0" t="n">
        <f aca="false">IF(F449="改装済み",1,0)</f>
        <v>0</v>
      </c>
      <c r="M449" s="0" t="n">
        <f aca="false">IF(A449="池尻大橋",1,0)</f>
        <v>0</v>
      </c>
      <c r="N449" s="0" t="n">
        <f aca="false">IF(A449="三軒茶屋",1,0)</f>
        <v>0</v>
      </c>
      <c r="O449" s="0" t="n">
        <f aca="false">IF(A449="駒沢大学",1,0)</f>
        <v>0</v>
      </c>
      <c r="P449" s="0" t="n">
        <f aca="false">IF(A449="桜新町",1,0)</f>
        <v>1</v>
      </c>
      <c r="Q449" s="0" t="n">
        <f aca="false">IF(A449="二子玉川",1,0)</f>
        <v>0</v>
      </c>
      <c r="R449" s="0" t="n">
        <f aca="false">IF(E449=2021,1,0)</f>
        <v>1</v>
      </c>
      <c r="S449" s="0" t="n">
        <f aca="false">IF(E449=2022,1,0)</f>
        <v>0</v>
      </c>
      <c r="T449" s="0" t="n">
        <f aca="false">IF(E449=2023,1,0)</f>
        <v>0</v>
      </c>
      <c r="U449" s="0" t="n">
        <f aca="false">IF(E449=2024,1,0)</f>
        <v>0</v>
      </c>
    </row>
    <row r="450" customFormat="false" ht="15" hidden="false" customHeight="false" outlineLevel="0" collapsed="false">
      <c r="A450" s="1" t="s">
        <v>12</v>
      </c>
      <c r="B450" s="0" t="n">
        <v>11</v>
      </c>
      <c r="C450" s="0" t="n">
        <v>80</v>
      </c>
      <c r="D450" s="0" t="n">
        <v>2000</v>
      </c>
      <c r="E450" s="0" t="n">
        <v>2021</v>
      </c>
      <c r="F450" s="1" t="s">
        <v>19</v>
      </c>
      <c r="G450" s="0" t="n">
        <v>83000000</v>
      </c>
      <c r="H450" s="0" t="n">
        <f aca="false">LN(G450/C450)</f>
        <v>13.852324531087</v>
      </c>
      <c r="I450" s="0" t="n">
        <f aca="false">B450</f>
        <v>11</v>
      </c>
      <c r="J450" s="0" t="n">
        <f aca="false">E450-D450</f>
        <v>21</v>
      </c>
      <c r="K450" s="0" t="n">
        <f aca="false">C450</f>
        <v>80</v>
      </c>
      <c r="L450" s="0" t="n">
        <f aca="false">IF(F450="改装済み",1,0)</f>
        <v>0</v>
      </c>
      <c r="M450" s="0" t="n">
        <f aca="false">IF(A450="池尻大橋",1,0)</f>
        <v>0</v>
      </c>
      <c r="N450" s="0" t="n">
        <f aca="false">IF(A450="三軒茶屋",1,0)</f>
        <v>0</v>
      </c>
      <c r="O450" s="0" t="n">
        <f aca="false">IF(A450="駒沢大学",1,0)</f>
        <v>0</v>
      </c>
      <c r="P450" s="0" t="n">
        <f aca="false">IF(A450="桜新町",1,0)</f>
        <v>1</v>
      </c>
      <c r="Q450" s="0" t="n">
        <f aca="false">IF(A450="二子玉川",1,0)</f>
        <v>0</v>
      </c>
      <c r="R450" s="0" t="n">
        <f aca="false">IF(E450=2021,1,0)</f>
        <v>1</v>
      </c>
      <c r="S450" s="0" t="n">
        <f aca="false">IF(E450=2022,1,0)</f>
        <v>0</v>
      </c>
      <c r="T450" s="0" t="n">
        <f aca="false">IF(E450=2023,1,0)</f>
        <v>0</v>
      </c>
      <c r="U450" s="0" t="n">
        <f aca="false">IF(E450=2024,1,0)</f>
        <v>0</v>
      </c>
    </row>
    <row r="451" customFormat="false" ht="15" hidden="false" customHeight="false" outlineLevel="0" collapsed="false">
      <c r="A451" s="1" t="s">
        <v>12</v>
      </c>
      <c r="B451" s="0" t="n">
        <v>12</v>
      </c>
      <c r="C451" s="0" t="n">
        <v>50</v>
      </c>
      <c r="D451" s="0" t="n">
        <v>1971</v>
      </c>
      <c r="E451" s="0" t="n">
        <v>2021</v>
      </c>
      <c r="F451" s="1" t="s">
        <v>18</v>
      </c>
      <c r="G451" s="0" t="n">
        <v>39000000</v>
      </c>
      <c r="H451" s="0" t="n">
        <f aca="false">LN(G451/C451)</f>
        <v>13.5670491986658</v>
      </c>
      <c r="I451" s="0" t="n">
        <f aca="false">B451</f>
        <v>12</v>
      </c>
      <c r="J451" s="0" t="n">
        <f aca="false">E451-D451</f>
        <v>50</v>
      </c>
      <c r="K451" s="0" t="n">
        <f aca="false">C451</f>
        <v>50</v>
      </c>
      <c r="L451" s="0" t="n">
        <f aca="false">IF(F451="改装済み",1,0)</f>
        <v>1</v>
      </c>
      <c r="M451" s="0" t="n">
        <f aca="false">IF(A451="池尻大橋",1,0)</f>
        <v>0</v>
      </c>
      <c r="N451" s="0" t="n">
        <f aca="false">IF(A451="三軒茶屋",1,0)</f>
        <v>0</v>
      </c>
      <c r="O451" s="0" t="n">
        <f aca="false">IF(A451="駒沢大学",1,0)</f>
        <v>0</v>
      </c>
      <c r="P451" s="0" t="n">
        <f aca="false">IF(A451="桜新町",1,0)</f>
        <v>1</v>
      </c>
      <c r="Q451" s="0" t="n">
        <f aca="false">IF(A451="二子玉川",1,0)</f>
        <v>0</v>
      </c>
      <c r="R451" s="0" t="n">
        <f aca="false">IF(E451=2021,1,0)</f>
        <v>1</v>
      </c>
      <c r="S451" s="0" t="n">
        <f aca="false">IF(E451=2022,1,0)</f>
        <v>0</v>
      </c>
      <c r="T451" s="0" t="n">
        <f aca="false">IF(E451=2023,1,0)</f>
        <v>0</v>
      </c>
      <c r="U451" s="0" t="n">
        <f aca="false">IF(E451=2024,1,0)</f>
        <v>0</v>
      </c>
    </row>
    <row r="452" customFormat="false" ht="15" hidden="false" customHeight="false" outlineLevel="0" collapsed="false">
      <c r="A452" s="1" t="s">
        <v>12</v>
      </c>
      <c r="B452" s="0" t="n">
        <v>10</v>
      </c>
      <c r="C452" s="0" t="n">
        <v>90</v>
      </c>
      <c r="D452" s="0" t="n">
        <v>1995</v>
      </c>
      <c r="E452" s="0" t="n">
        <v>2021</v>
      </c>
      <c r="F452" s="1" t="s">
        <v>19</v>
      </c>
      <c r="G452" s="0" t="n">
        <v>90000000</v>
      </c>
      <c r="H452" s="0" t="n">
        <f aca="false">LN(G452/C452)</f>
        <v>13.8155105579643</v>
      </c>
      <c r="I452" s="0" t="n">
        <f aca="false">B452</f>
        <v>10</v>
      </c>
      <c r="J452" s="0" t="n">
        <f aca="false">E452-D452</f>
        <v>26</v>
      </c>
      <c r="K452" s="0" t="n">
        <f aca="false">C452</f>
        <v>90</v>
      </c>
      <c r="L452" s="0" t="n">
        <f aca="false">IF(F452="改装済み",1,0)</f>
        <v>0</v>
      </c>
      <c r="M452" s="0" t="n">
        <f aca="false">IF(A452="池尻大橋",1,0)</f>
        <v>0</v>
      </c>
      <c r="N452" s="0" t="n">
        <f aca="false">IF(A452="三軒茶屋",1,0)</f>
        <v>0</v>
      </c>
      <c r="O452" s="0" t="n">
        <f aca="false">IF(A452="駒沢大学",1,0)</f>
        <v>0</v>
      </c>
      <c r="P452" s="0" t="n">
        <f aca="false">IF(A452="桜新町",1,0)</f>
        <v>1</v>
      </c>
      <c r="Q452" s="0" t="n">
        <f aca="false">IF(A452="二子玉川",1,0)</f>
        <v>0</v>
      </c>
      <c r="R452" s="0" t="n">
        <f aca="false">IF(E452=2021,1,0)</f>
        <v>1</v>
      </c>
      <c r="S452" s="0" t="n">
        <f aca="false">IF(E452=2022,1,0)</f>
        <v>0</v>
      </c>
      <c r="T452" s="0" t="n">
        <f aca="false">IF(E452=2023,1,0)</f>
        <v>0</v>
      </c>
      <c r="U452" s="0" t="n">
        <f aca="false">IF(E452=2024,1,0)</f>
        <v>0</v>
      </c>
    </row>
    <row r="453" customFormat="false" ht="15" hidden="false" customHeight="false" outlineLevel="0" collapsed="false">
      <c r="A453" s="1" t="s">
        <v>12</v>
      </c>
      <c r="B453" s="0" t="n">
        <v>11</v>
      </c>
      <c r="C453" s="0" t="n">
        <v>65</v>
      </c>
      <c r="D453" s="0" t="n">
        <v>2013</v>
      </c>
      <c r="E453" s="0" t="n">
        <v>2021</v>
      </c>
      <c r="F453" s="1" t="s">
        <v>19</v>
      </c>
      <c r="G453" s="0" t="n">
        <v>70000000</v>
      </c>
      <c r="H453" s="0" t="n">
        <f aca="false">LN(G453/C453)</f>
        <v>13.889618530118</v>
      </c>
      <c r="I453" s="0" t="n">
        <f aca="false">B453</f>
        <v>11</v>
      </c>
      <c r="J453" s="0" t="n">
        <f aca="false">E453-D453</f>
        <v>8</v>
      </c>
      <c r="K453" s="0" t="n">
        <f aca="false">C453</f>
        <v>65</v>
      </c>
      <c r="L453" s="0" t="n">
        <f aca="false">IF(F453="改装済み",1,0)</f>
        <v>0</v>
      </c>
      <c r="M453" s="0" t="n">
        <f aca="false">IF(A453="池尻大橋",1,0)</f>
        <v>0</v>
      </c>
      <c r="N453" s="0" t="n">
        <f aca="false">IF(A453="三軒茶屋",1,0)</f>
        <v>0</v>
      </c>
      <c r="O453" s="0" t="n">
        <f aca="false">IF(A453="駒沢大学",1,0)</f>
        <v>0</v>
      </c>
      <c r="P453" s="0" t="n">
        <f aca="false">IF(A453="桜新町",1,0)</f>
        <v>1</v>
      </c>
      <c r="Q453" s="0" t="n">
        <f aca="false">IF(A453="二子玉川",1,0)</f>
        <v>0</v>
      </c>
      <c r="R453" s="0" t="n">
        <f aca="false">IF(E453=2021,1,0)</f>
        <v>1</v>
      </c>
      <c r="S453" s="0" t="n">
        <f aca="false">IF(E453=2022,1,0)</f>
        <v>0</v>
      </c>
      <c r="T453" s="0" t="n">
        <f aca="false">IF(E453=2023,1,0)</f>
        <v>0</v>
      </c>
      <c r="U453" s="0" t="n">
        <f aca="false">IF(E453=2024,1,0)</f>
        <v>0</v>
      </c>
    </row>
    <row r="454" customFormat="false" ht="15" hidden="false" customHeight="false" outlineLevel="0" collapsed="false">
      <c r="A454" s="1" t="s">
        <v>12</v>
      </c>
      <c r="B454" s="0" t="n">
        <v>11</v>
      </c>
      <c r="C454" s="0" t="n">
        <v>75</v>
      </c>
      <c r="D454" s="0" t="n">
        <v>2000</v>
      </c>
      <c r="E454" s="0" t="n">
        <v>2021</v>
      </c>
      <c r="F454" s="1" t="s">
        <v>19</v>
      </c>
      <c r="G454" s="0" t="n">
        <v>87000000</v>
      </c>
      <c r="H454" s="0" t="n">
        <f aca="false">LN(G454/C454)</f>
        <v>13.9639305630825</v>
      </c>
      <c r="I454" s="0" t="n">
        <f aca="false">B454</f>
        <v>11</v>
      </c>
      <c r="J454" s="0" t="n">
        <f aca="false">E454-D454</f>
        <v>21</v>
      </c>
      <c r="K454" s="0" t="n">
        <f aca="false">C454</f>
        <v>75</v>
      </c>
      <c r="L454" s="0" t="n">
        <f aca="false">IF(F454="改装済み",1,0)</f>
        <v>0</v>
      </c>
      <c r="M454" s="0" t="n">
        <f aca="false">IF(A454="池尻大橋",1,0)</f>
        <v>0</v>
      </c>
      <c r="N454" s="0" t="n">
        <f aca="false">IF(A454="三軒茶屋",1,0)</f>
        <v>0</v>
      </c>
      <c r="O454" s="0" t="n">
        <f aca="false">IF(A454="駒沢大学",1,0)</f>
        <v>0</v>
      </c>
      <c r="P454" s="0" t="n">
        <f aca="false">IF(A454="桜新町",1,0)</f>
        <v>1</v>
      </c>
      <c r="Q454" s="0" t="n">
        <f aca="false">IF(A454="二子玉川",1,0)</f>
        <v>0</v>
      </c>
      <c r="R454" s="0" t="n">
        <f aca="false">IF(E454=2021,1,0)</f>
        <v>1</v>
      </c>
      <c r="S454" s="0" t="n">
        <f aca="false">IF(E454=2022,1,0)</f>
        <v>0</v>
      </c>
      <c r="T454" s="0" t="n">
        <f aca="false">IF(E454=2023,1,0)</f>
        <v>0</v>
      </c>
      <c r="U454" s="0" t="n">
        <f aca="false">IF(E454=2024,1,0)</f>
        <v>0</v>
      </c>
    </row>
    <row r="455" customFormat="false" ht="15" hidden="false" customHeight="false" outlineLevel="0" collapsed="false">
      <c r="A455" s="1" t="s">
        <v>12</v>
      </c>
      <c r="B455" s="0" t="n">
        <v>8</v>
      </c>
      <c r="C455" s="0" t="n">
        <v>90</v>
      </c>
      <c r="D455" s="0" t="n">
        <v>1999</v>
      </c>
      <c r="E455" s="0" t="n">
        <v>2021</v>
      </c>
      <c r="F455" s="1" t="s">
        <v>18</v>
      </c>
      <c r="G455" s="0" t="n">
        <v>86000000</v>
      </c>
      <c r="H455" s="0" t="n">
        <f aca="false">LN(G455/C455)</f>
        <v>13.7700481838875</v>
      </c>
      <c r="I455" s="0" t="n">
        <f aca="false">B455</f>
        <v>8</v>
      </c>
      <c r="J455" s="0" t="n">
        <f aca="false">E455-D455</f>
        <v>22</v>
      </c>
      <c r="K455" s="0" t="n">
        <f aca="false">C455</f>
        <v>90</v>
      </c>
      <c r="L455" s="0" t="n">
        <f aca="false">IF(F455="改装済み",1,0)</f>
        <v>1</v>
      </c>
      <c r="M455" s="0" t="n">
        <f aca="false">IF(A455="池尻大橋",1,0)</f>
        <v>0</v>
      </c>
      <c r="N455" s="0" t="n">
        <f aca="false">IF(A455="三軒茶屋",1,0)</f>
        <v>0</v>
      </c>
      <c r="O455" s="0" t="n">
        <f aca="false">IF(A455="駒沢大学",1,0)</f>
        <v>0</v>
      </c>
      <c r="P455" s="0" t="n">
        <f aca="false">IF(A455="桜新町",1,0)</f>
        <v>1</v>
      </c>
      <c r="Q455" s="0" t="n">
        <f aca="false">IF(A455="二子玉川",1,0)</f>
        <v>0</v>
      </c>
      <c r="R455" s="0" t="n">
        <f aca="false">IF(E455=2021,1,0)</f>
        <v>1</v>
      </c>
      <c r="S455" s="0" t="n">
        <f aca="false">IF(E455=2022,1,0)</f>
        <v>0</v>
      </c>
      <c r="T455" s="0" t="n">
        <f aca="false">IF(E455=2023,1,0)</f>
        <v>0</v>
      </c>
      <c r="U455" s="0" t="n">
        <f aca="false">IF(E455=2024,1,0)</f>
        <v>0</v>
      </c>
    </row>
    <row r="456" customFormat="false" ht="15" hidden="false" customHeight="false" outlineLevel="0" collapsed="false">
      <c r="A456" s="1" t="s">
        <v>12</v>
      </c>
      <c r="B456" s="0" t="n">
        <v>10</v>
      </c>
      <c r="C456" s="0" t="n">
        <v>70</v>
      </c>
      <c r="D456" s="0" t="n">
        <v>2016</v>
      </c>
      <c r="E456" s="0" t="n">
        <v>2021</v>
      </c>
      <c r="F456" s="1" t="s">
        <v>19</v>
      </c>
      <c r="G456" s="0" t="n">
        <v>90000000</v>
      </c>
      <c r="H456" s="0" t="n">
        <f aca="false">LN(G456/C456)</f>
        <v>14.0668249862452</v>
      </c>
      <c r="I456" s="0" t="n">
        <f aca="false">B456</f>
        <v>10</v>
      </c>
      <c r="J456" s="0" t="n">
        <f aca="false">E456-D456</f>
        <v>5</v>
      </c>
      <c r="K456" s="0" t="n">
        <f aca="false">C456</f>
        <v>70</v>
      </c>
      <c r="L456" s="0" t="n">
        <f aca="false">IF(F456="改装済み",1,0)</f>
        <v>0</v>
      </c>
      <c r="M456" s="0" t="n">
        <f aca="false">IF(A456="池尻大橋",1,0)</f>
        <v>0</v>
      </c>
      <c r="N456" s="0" t="n">
        <f aca="false">IF(A456="三軒茶屋",1,0)</f>
        <v>0</v>
      </c>
      <c r="O456" s="0" t="n">
        <f aca="false">IF(A456="駒沢大学",1,0)</f>
        <v>0</v>
      </c>
      <c r="P456" s="0" t="n">
        <f aca="false">IF(A456="桜新町",1,0)</f>
        <v>1</v>
      </c>
      <c r="Q456" s="0" t="n">
        <f aca="false">IF(A456="二子玉川",1,0)</f>
        <v>0</v>
      </c>
      <c r="R456" s="0" t="n">
        <f aca="false">IF(E456=2021,1,0)</f>
        <v>1</v>
      </c>
      <c r="S456" s="0" t="n">
        <f aca="false">IF(E456=2022,1,0)</f>
        <v>0</v>
      </c>
      <c r="T456" s="0" t="n">
        <f aca="false">IF(E456=2023,1,0)</f>
        <v>0</v>
      </c>
      <c r="U456" s="0" t="n">
        <f aca="false">IF(E456=2024,1,0)</f>
        <v>0</v>
      </c>
    </row>
    <row r="457" customFormat="false" ht="15" hidden="false" customHeight="false" outlineLevel="0" collapsed="false">
      <c r="A457" s="1" t="s">
        <v>12</v>
      </c>
      <c r="B457" s="0" t="n">
        <v>10</v>
      </c>
      <c r="C457" s="0" t="n">
        <v>75</v>
      </c>
      <c r="D457" s="0" t="n">
        <v>2016</v>
      </c>
      <c r="E457" s="0" t="n">
        <v>2021</v>
      </c>
      <c r="F457" s="1" t="s">
        <v>19</v>
      </c>
      <c r="G457" s="0" t="n">
        <v>85000000</v>
      </c>
      <c r="H457" s="0" t="n">
        <f aca="false">LN(G457/C457)</f>
        <v>13.9406737009183</v>
      </c>
      <c r="I457" s="0" t="n">
        <f aca="false">B457</f>
        <v>10</v>
      </c>
      <c r="J457" s="0" t="n">
        <f aca="false">E457-D457</f>
        <v>5</v>
      </c>
      <c r="K457" s="0" t="n">
        <f aca="false">C457</f>
        <v>75</v>
      </c>
      <c r="L457" s="0" t="n">
        <f aca="false">IF(F457="改装済み",1,0)</f>
        <v>0</v>
      </c>
      <c r="M457" s="0" t="n">
        <f aca="false">IF(A457="池尻大橋",1,0)</f>
        <v>0</v>
      </c>
      <c r="N457" s="0" t="n">
        <f aca="false">IF(A457="三軒茶屋",1,0)</f>
        <v>0</v>
      </c>
      <c r="O457" s="0" t="n">
        <f aca="false">IF(A457="駒沢大学",1,0)</f>
        <v>0</v>
      </c>
      <c r="P457" s="0" t="n">
        <f aca="false">IF(A457="桜新町",1,0)</f>
        <v>1</v>
      </c>
      <c r="Q457" s="0" t="n">
        <f aca="false">IF(A457="二子玉川",1,0)</f>
        <v>0</v>
      </c>
      <c r="R457" s="0" t="n">
        <f aca="false">IF(E457=2021,1,0)</f>
        <v>1</v>
      </c>
      <c r="S457" s="0" t="n">
        <f aca="false">IF(E457=2022,1,0)</f>
        <v>0</v>
      </c>
      <c r="T457" s="0" t="n">
        <f aca="false">IF(E457=2023,1,0)</f>
        <v>0</v>
      </c>
      <c r="U457" s="0" t="n">
        <f aca="false">IF(E457=2024,1,0)</f>
        <v>0</v>
      </c>
    </row>
    <row r="458" customFormat="false" ht="15" hidden="false" customHeight="false" outlineLevel="0" collapsed="false">
      <c r="A458" s="1" t="s">
        <v>20</v>
      </c>
      <c r="B458" s="0" t="n">
        <v>13</v>
      </c>
      <c r="C458" s="0" t="n">
        <v>95</v>
      </c>
      <c r="D458" s="0" t="n">
        <v>1967</v>
      </c>
      <c r="E458" s="0" t="n">
        <v>2025</v>
      </c>
      <c r="F458" s="1" t="s">
        <v>19</v>
      </c>
      <c r="G458" s="0" t="n">
        <v>49000000</v>
      </c>
      <c r="H458" s="0" t="n">
        <f aca="false">LN(G458/C458)</f>
        <v>13.1534539644744</v>
      </c>
      <c r="I458" s="0" t="n">
        <f aca="false">B458</f>
        <v>13</v>
      </c>
      <c r="J458" s="0" t="n">
        <f aca="false">E458-D458</f>
        <v>58</v>
      </c>
      <c r="K458" s="0" t="n">
        <f aca="false">C458</f>
        <v>95</v>
      </c>
      <c r="L458" s="0" t="n">
        <f aca="false">IF(F458="改装済み",1,0)</f>
        <v>0</v>
      </c>
      <c r="M458" s="0" t="n">
        <f aca="false">IF(A458="池尻大橋",1,0)</f>
        <v>0</v>
      </c>
      <c r="N458" s="0" t="n">
        <f aca="false">IF(A458="三軒茶屋",1,0)</f>
        <v>0</v>
      </c>
      <c r="O458" s="0" t="n">
        <f aca="false">IF(A458="駒沢大学",1,0)</f>
        <v>0</v>
      </c>
      <c r="P458" s="0" t="n">
        <f aca="false">IF(A458="桜新町",1,0)</f>
        <v>0</v>
      </c>
      <c r="Q458" s="0" t="n">
        <f aca="false">IF(A458="二子玉川",1,0)</f>
        <v>0</v>
      </c>
      <c r="R458" s="0" t="n">
        <f aca="false">IF(E458=2021,1,0)</f>
        <v>0</v>
      </c>
      <c r="S458" s="0" t="n">
        <f aca="false">IF(E458=2022,1,0)</f>
        <v>0</v>
      </c>
      <c r="T458" s="0" t="n">
        <f aca="false">IF(E458=2023,1,0)</f>
        <v>0</v>
      </c>
      <c r="U458" s="0" t="n">
        <f aca="false">IF(E458=2024,1,0)</f>
        <v>0</v>
      </c>
    </row>
    <row r="459" customFormat="false" ht="15" hidden="false" customHeight="false" outlineLevel="0" collapsed="false">
      <c r="A459" s="1" t="s">
        <v>20</v>
      </c>
      <c r="B459" s="0" t="n">
        <v>13</v>
      </c>
      <c r="C459" s="0" t="n">
        <v>65</v>
      </c>
      <c r="D459" s="0" t="n">
        <v>1967</v>
      </c>
      <c r="E459" s="0" t="n">
        <v>2025</v>
      </c>
      <c r="F459" s="1" t="s">
        <v>18</v>
      </c>
      <c r="G459" s="0" t="n">
        <v>40000000</v>
      </c>
      <c r="H459" s="0" t="n">
        <f aca="false">LN(G459/C459)</f>
        <v>13.3300027421826</v>
      </c>
      <c r="I459" s="0" t="n">
        <f aca="false">B459</f>
        <v>13</v>
      </c>
      <c r="J459" s="0" t="n">
        <f aca="false">E459-D459</f>
        <v>58</v>
      </c>
      <c r="K459" s="0" t="n">
        <f aca="false">C459</f>
        <v>65</v>
      </c>
      <c r="L459" s="0" t="n">
        <f aca="false">IF(F459="改装済み",1,0)</f>
        <v>1</v>
      </c>
      <c r="M459" s="0" t="n">
        <f aca="false">IF(A459="池尻大橋",1,0)</f>
        <v>0</v>
      </c>
      <c r="N459" s="0" t="n">
        <f aca="false">IF(A459="三軒茶屋",1,0)</f>
        <v>0</v>
      </c>
      <c r="O459" s="0" t="n">
        <f aca="false">IF(A459="駒沢大学",1,0)</f>
        <v>0</v>
      </c>
      <c r="P459" s="0" t="n">
        <f aca="false">IF(A459="桜新町",1,0)</f>
        <v>0</v>
      </c>
      <c r="Q459" s="0" t="n">
        <f aca="false">IF(A459="二子玉川",1,0)</f>
        <v>0</v>
      </c>
      <c r="R459" s="0" t="n">
        <f aca="false">IF(E459=2021,1,0)</f>
        <v>0</v>
      </c>
      <c r="S459" s="0" t="n">
        <f aca="false">IF(E459=2022,1,0)</f>
        <v>0</v>
      </c>
      <c r="T459" s="0" t="n">
        <f aca="false">IF(E459=2023,1,0)</f>
        <v>0</v>
      </c>
      <c r="U459" s="0" t="n">
        <f aca="false">IF(E459=2024,1,0)</f>
        <v>0</v>
      </c>
    </row>
    <row r="460" customFormat="false" ht="15" hidden="false" customHeight="false" outlineLevel="0" collapsed="false">
      <c r="A460" s="1" t="s">
        <v>20</v>
      </c>
      <c r="B460" s="0" t="n">
        <v>11</v>
      </c>
      <c r="C460" s="0" t="n">
        <v>55</v>
      </c>
      <c r="D460" s="0" t="n">
        <v>2016</v>
      </c>
      <c r="E460" s="0" t="n">
        <v>2024</v>
      </c>
      <c r="F460" s="1" t="s">
        <v>19</v>
      </c>
      <c r="G460" s="0" t="n">
        <v>85000000</v>
      </c>
      <c r="H460" s="0" t="n">
        <f aca="false">LN(G460/C460)</f>
        <v>14.2508286292221</v>
      </c>
      <c r="I460" s="0" t="n">
        <f aca="false">B460</f>
        <v>11</v>
      </c>
      <c r="J460" s="0" t="n">
        <f aca="false">E460-D460</f>
        <v>8</v>
      </c>
      <c r="K460" s="0" t="n">
        <f aca="false">C460</f>
        <v>55</v>
      </c>
      <c r="L460" s="0" t="n">
        <f aca="false">IF(F460="改装済み",1,0)</f>
        <v>0</v>
      </c>
      <c r="M460" s="0" t="n">
        <f aca="false">IF(A460="池尻大橋",1,0)</f>
        <v>0</v>
      </c>
      <c r="N460" s="0" t="n">
        <f aca="false">IF(A460="三軒茶屋",1,0)</f>
        <v>0</v>
      </c>
      <c r="O460" s="0" t="n">
        <f aca="false">IF(A460="駒沢大学",1,0)</f>
        <v>0</v>
      </c>
      <c r="P460" s="0" t="n">
        <f aca="false">IF(A460="桜新町",1,0)</f>
        <v>0</v>
      </c>
      <c r="Q460" s="0" t="n">
        <f aca="false">IF(A460="二子玉川",1,0)</f>
        <v>0</v>
      </c>
      <c r="R460" s="0" t="n">
        <f aca="false">IF(E460=2021,1,0)</f>
        <v>0</v>
      </c>
      <c r="S460" s="0" t="n">
        <f aca="false">IF(E460=2022,1,0)</f>
        <v>0</v>
      </c>
      <c r="T460" s="0" t="n">
        <f aca="false">IF(E460=2023,1,0)</f>
        <v>0</v>
      </c>
      <c r="U460" s="0" t="n">
        <f aca="false">IF(E460=2024,1,0)</f>
        <v>1</v>
      </c>
    </row>
    <row r="461" customFormat="false" ht="15" hidden="false" customHeight="false" outlineLevel="0" collapsed="false">
      <c r="A461" s="1" t="s">
        <v>20</v>
      </c>
      <c r="B461" s="0" t="n">
        <v>11</v>
      </c>
      <c r="C461" s="0" t="n">
        <v>60</v>
      </c>
      <c r="D461" s="0" t="n">
        <v>2016</v>
      </c>
      <c r="E461" s="0" t="n">
        <v>2024</v>
      </c>
      <c r="F461" s="1" t="s">
        <v>18</v>
      </c>
      <c r="G461" s="0" t="n">
        <v>91000000</v>
      </c>
      <c r="H461" s="0" t="n">
        <f aca="false">LN(G461/C461)</f>
        <v>14.232025502259</v>
      </c>
      <c r="I461" s="0" t="n">
        <f aca="false">B461</f>
        <v>11</v>
      </c>
      <c r="J461" s="0" t="n">
        <f aca="false">E461-D461</f>
        <v>8</v>
      </c>
      <c r="K461" s="0" t="n">
        <f aca="false">C461</f>
        <v>60</v>
      </c>
      <c r="L461" s="0" t="n">
        <f aca="false">IF(F461="改装済み",1,0)</f>
        <v>1</v>
      </c>
      <c r="M461" s="0" t="n">
        <f aca="false">IF(A461="池尻大橋",1,0)</f>
        <v>0</v>
      </c>
      <c r="N461" s="0" t="n">
        <f aca="false">IF(A461="三軒茶屋",1,0)</f>
        <v>0</v>
      </c>
      <c r="O461" s="0" t="n">
        <f aca="false">IF(A461="駒沢大学",1,0)</f>
        <v>0</v>
      </c>
      <c r="P461" s="0" t="n">
        <f aca="false">IF(A461="桜新町",1,0)</f>
        <v>0</v>
      </c>
      <c r="Q461" s="0" t="n">
        <f aca="false">IF(A461="二子玉川",1,0)</f>
        <v>0</v>
      </c>
      <c r="R461" s="0" t="n">
        <f aca="false">IF(E461=2021,1,0)</f>
        <v>0</v>
      </c>
      <c r="S461" s="0" t="n">
        <f aca="false">IF(E461=2022,1,0)</f>
        <v>0</v>
      </c>
      <c r="T461" s="0" t="n">
        <f aca="false">IF(E461=2023,1,0)</f>
        <v>0</v>
      </c>
      <c r="U461" s="0" t="n">
        <f aca="false">IF(E461=2024,1,0)</f>
        <v>1</v>
      </c>
    </row>
    <row r="462" customFormat="false" ht="15" hidden="false" customHeight="false" outlineLevel="0" collapsed="false">
      <c r="A462" s="1" t="s">
        <v>20</v>
      </c>
      <c r="B462" s="0" t="n">
        <v>11</v>
      </c>
      <c r="C462" s="0" t="n">
        <v>65</v>
      </c>
      <c r="D462" s="0" t="n">
        <v>2016</v>
      </c>
      <c r="E462" s="0" t="n">
        <v>2023</v>
      </c>
      <c r="F462" s="1" t="s">
        <v>19</v>
      </c>
      <c r="G462" s="0" t="n">
        <v>88000000</v>
      </c>
      <c r="H462" s="0" t="n">
        <f aca="false">LN(G462/C462)</f>
        <v>14.1184601025468</v>
      </c>
      <c r="I462" s="0" t="n">
        <f aca="false">B462</f>
        <v>11</v>
      </c>
      <c r="J462" s="0" t="n">
        <f aca="false">E462-D462</f>
        <v>7</v>
      </c>
      <c r="K462" s="0" t="n">
        <f aca="false">C462</f>
        <v>65</v>
      </c>
      <c r="L462" s="0" t="n">
        <f aca="false">IF(F462="改装済み",1,0)</f>
        <v>0</v>
      </c>
      <c r="M462" s="0" t="n">
        <f aca="false">IF(A462="池尻大橋",1,0)</f>
        <v>0</v>
      </c>
      <c r="N462" s="0" t="n">
        <f aca="false">IF(A462="三軒茶屋",1,0)</f>
        <v>0</v>
      </c>
      <c r="O462" s="0" t="n">
        <f aca="false">IF(A462="駒沢大学",1,0)</f>
        <v>0</v>
      </c>
      <c r="P462" s="0" t="n">
        <f aca="false">IF(A462="桜新町",1,0)</f>
        <v>0</v>
      </c>
      <c r="Q462" s="0" t="n">
        <f aca="false">IF(A462="二子玉川",1,0)</f>
        <v>0</v>
      </c>
      <c r="R462" s="0" t="n">
        <f aca="false">IF(E462=2021,1,0)</f>
        <v>0</v>
      </c>
      <c r="S462" s="0" t="n">
        <f aca="false">IF(E462=2022,1,0)</f>
        <v>0</v>
      </c>
      <c r="T462" s="0" t="n">
        <f aca="false">IF(E462=2023,1,0)</f>
        <v>1</v>
      </c>
      <c r="U462" s="0" t="n">
        <f aca="false">IF(E462=2024,1,0)</f>
        <v>0</v>
      </c>
    </row>
    <row r="463" customFormat="false" ht="15" hidden="false" customHeight="false" outlineLevel="0" collapsed="false">
      <c r="A463" s="1" t="s">
        <v>20</v>
      </c>
      <c r="B463" s="0" t="n">
        <v>11</v>
      </c>
      <c r="C463" s="0" t="n">
        <v>50</v>
      </c>
      <c r="D463" s="0" t="n">
        <v>2006</v>
      </c>
      <c r="E463" s="0" t="n">
        <v>2023</v>
      </c>
      <c r="F463" s="1" t="s">
        <v>19</v>
      </c>
      <c r="G463" s="0" t="n">
        <v>46000000</v>
      </c>
      <c r="H463" s="0" t="n">
        <f aca="false">LN(G463/C463)</f>
        <v>13.7321289490252</v>
      </c>
      <c r="I463" s="0" t="n">
        <f aca="false">B463</f>
        <v>11</v>
      </c>
      <c r="J463" s="0" t="n">
        <f aca="false">E463-D463</f>
        <v>17</v>
      </c>
      <c r="K463" s="0" t="n">
        <f aca="false">C463</f>
        <v>50</v>
      </c>
      <c r="L463" s="0" t="n">
        <f aca="false">IF(F463="改装済み",1,0)</f>
        <v>0</v>
      </c>
      <c r="M463" s="0" t="n">
        <f aca="false">IF(A463="池尻大橋",1,0)</f>
        <v>0</v>
      </c>
      <c r="N463" s="0" t="n">
        <f aca="false">IF(A463="三軒茶屋",1,0)</f>
        <v>0</v>
      </c>
      <c r="O463" s="0" t="n">
        <f aca="false">IF(A463="駒沢大学",1,0)</f>
        <v>0</v>
      </c>
      <c r="P463" s="0" t="n">
        <f aca="false">IF(A463="桜新町",1,0)</f>
        <v>0</v>
      </c>
      <c r="Q463" s="0" t="n">
        <f aca="false">IF(A463="二子玉川",1,0)</f>
        <v>0</v>
      </c>
      <c r="R463" s="0" t="n">
        <f aca="false">IF(E463=2021,1,0)</f>
        <v>0</v>
      </c>
      <c r="S463" s="0" t="n">
        <f aca="false">IF(E463=2022,1,0)</f>
        <v>0</v>
      </c>
      <c r="T463" s="0" t="n">
        <f aca="false">IF(E463=2023,1,0)</f>
        <v>1</v>
      </c>
      <c r="U463" s="0" t="n">
        <f aca="false">IF(E463=2024,1,0)</f>
        <v>0</v>
      </c>
    </row>
    <row r="464" customFormat="false" ht="15" hidden="false" customHeight="false" outlineLevel="0" collapsed="false">
      <c r="A464" s="1" t="s">
        <v>13</v>
      </c>
      <c r="B464" s="0" t="n">
        <v>20</v>
      </c>
      <c r="C464" s="0" t="n">
        <v>50</v>
      </c>
      <c r="D464" s="0" t="n">
        <v>1995</v>
      </c>
      <c r="E464" s="0" t="n">
        <v>2021</v>
      </c>
      <c r="F464" s="1" t="s">
        <v>18</v>
      </c>
      <c r="G464" s="0" t="n">
        <v>44000000</v>
      </c>
      <c r="H464" s="0" t="n">
        <f aca="false">LN(G464/C464)</f>
        <v>13.6876771864544</v>
      </c>
      <c r="I464" s="0" t="n">
        <f aca="false">B464</f>
        <v>20</v>
      </c>
      <c r="J464" s="0" t="n">
        <f aca="false">E464-D464</f>
        <v>26</v>
      </c>
      <c r="K464" s="0" t="n">
        <f aca="false">C464</f>
        <v>50</v>
      </c>
      <c r="L464" s="0" t="n">
        <f aca="false">IF(F464="改装済み",1,0)</f>
        <v>1</v>
      </c>
      <c r="M464" s="0" t="n">
        <f aca="false">IF(A464="池尻大橋",1,0)</f>
        <v>0</v>
      </c>
      <c r="N464" s="0" t="n">
        <f aca="false">IF(A464="三軒茶屋",1,0)</f>
        <v>0</v>
      </c>
      <c r="O464" s="0" t="n">
        <f aca="false">IF(A464="駒沢大学",1,0)</f>
        <v>0</v>
      </c>
      <c r="P464" s="0" t="n">
        <f aca="false">IF(A464="桜新町",1,0)</f>
        <v>0</v>
      </c>
      <c r="Q464" s="0" t="n">
        <f aca="false">IF(A464="二子玉川",1,0)</f>
        <v>1</v>
      </c>
      <c r="R464" s="0" t="n">
        <f aca="false">IF(E464=2021,1,0)</f>
        <v>1</v>
      </c>
      <c r="S464" s="0" t="n">
        <f aca="false">IF(E464=2022,1,0)</f>
        <v>0</v>
      </c>
      <c r="T464" s="0" t="n">
        <f aca="false">IF(E464=2023,1,0)</f>
        <v>0</v>
      </c>
      <c r="U464" s="0" t="n">
        <f aca="false">IF(E464=2024,1,0)</f>
        <v>0</v>
      </c>
    </row>
    <row r="465" customFormat="false" ht="15" hidden="false" customHeight="false" outlineLevel="0" collapsed="false">
      <c r="A465" s="1" t="s">
        <v>11</v>
      </c>
      <c r="B465" s="0" t="n">
        <v>14</v>
      </c>
      <c r="C465" s="0" t="n">
        <v>75</v>
      </c>
      <c r="D465" s="0" t="n">
        <v>2008</v>
      </c>
      <c r="E465" s="0" t="n">
        <v>2025</v>
      </c>
      <c r="F465" s="1" t="s">
        <v>19</v>
      </c>
      <c r="G465" s="0" t="n">
        <v>110000000</v>
      </c>
      <c r="H465" s="0" t="n">
        <f aca="false">LN(G465/C465)</f>
        <v>14.1985028102204</v>
      </c>
      <c r="I465" s="0" t="n">
        <f aca="false">B465</f>
        <v>14</v>
      </c>
      <c r="J465" s="0" t="n">
        <f aca="false">E465-D465</f>
        <v>17</v>
      </c>
      <c r="K465" s="0" t="n">
        <f aca="false">C465</f>
        <v>75</v>
      </c>
      <c r="L465" s="0" t="n">
        <f aca="false">IF(F465="改装済み",1,0)</f>
        <v>0</v>
      </c>
      <c r="M465" s="0" t="n">
        <f aca="false">IF(A465="池尻大橋",1,0)</f>
        <v>0</v>
      </c>
      <c r="N465" s="0" t="n">
        <f aca="false">IF(A465="三軒茶屋",1,0)</f>
        <v>0</v>
      </c>
      <c r="O465" s="0" t="n">
        <f aca="false">IF(A465="駒沢大学",1,0)</f>
        <v>1</v>
      </c>
      <c r="P465" s="0" t="n">
        <f aca="false">IF(A465="桜新町",1,0)</f>
        <v>0</v>
      </c>
      <c r="Q465" s="0" t="n">
        <f aca="false">IF(A465="二子玉川",1,0)</f>
        <v>0</v>
      </c>
      <c r="R465" s="0" t="n">
        <f aca="false">IF(E465=2021,1,0)</f>
        <v>0</v>
      </c>
      <c r="S465" s="0" t="n">
        <f aca="false">IF(E465=2022,1,0)</f>
        <v>0</v>
      </c>
      <c r="T465" s="0" t="n">
        <f aca="false">IF(E465=2023,1,0)</f>
        <v>0</v>
      </c>
      <c r="U465" s="0" t="n">
        <f aca="false">IF(E465=2024,1,0)</f>
        <v>0</v>
      </c>
    </row>
    <row r="466" customFormat="false" ht="15" hidden="false" customHeight="false" outlineLevel="0" collapsed="false">
      <c r="A466" s="1" t="s">
        <v>11</v>
      </c>
      <c r="B466" s="0" t="n">
        <v>14</v>
      </c>
      <c r="C466" s="0" t="n">
        <v>70</v>
      </c>
      <c r="D466" s="0" t="n">
        <v>2008</v>
      </c>
      <c r="E466" s="0" t="n">
        <v>2025</v>
      </c>
      <c r="F466" s="1" t="s">
        <v>18</v>
      </c>
      <c r="G466" s="0" t="n">
        <v>100000000</v>
      </c>
      <c r="H466" s="0" t="n">
        <f aca="false">LN(G466/C466)</f>
        <v>14.172185501903</v>
      </c>
      <c r="I466" s="0" t="n">
        <f aca="false">B466</f>
        <v>14</v>
      </c>
      <c r="J466" s="0" t="n">
        <f aca="false">E466-D466</f>
        <v>17</v>
      </c>
      <c r="K466" s="0" t="n">
        <f aca="false">C466</f>
        <v>70</v>
      </c>
      <c r="L466" s="0" t="n">
        <f aca="false">IF(F466="改装済み",1,0)</f>
        <v>1</v>
      </c>
      <c r="M466" s="0" t="n">
        <f aca="false">IF(A466="池尻大橋",1,0)</f>
        <v>0</v>
      </c>
      <c r="N466" s="0" t="n">
        <f aca="false">IF(A466="三軒茶屋",1,0)</f>
        <v>0</v>
      </c>
      <c r="O466" s="0" t="n">
        <f aca="false">IF(A466="駒沢大学",1,0)</f>
        <v>1</v>
      </c>
      <c r="P466" s="0" t="n">
        <f aca="false">IF(A466="桜新町",1,0)</f>
        <v>0</v>
      </c>
      <c r="Q466" s="0" t="n">
        <f aca="false">IF(A466="二子玉川",1,0)</f>
        <v>0</v>
      </c>
      <c r="R466" s="0" t="n">
        <f aca="false">IF(E466=2021,1,0)</f>
        <v>0</v>
      </c>
      <c r="S466" s="0" t="n">
        <f aca="false">IF(E466=2022,1,0)</f>
        <v>0</v>
      </c>
      <c r="T466" s="0" t="n">
        <f aca="false">IF(E466=2023,1,0)</f>
        <v>0</v>
      </c>
      <c r="U466" s="0" t="n">
        <f aca="false">IF(E466=2024,1,0)</f>
        <v>0</v>
      </c>
    </row>
    <row r="467" customFormat="false" ht="15" hidden="false" customHeight="false" outlineLevel="0" collapsed="false">
      <c r="A467" s="1" t="s">
        <v>11</v>
      </c>
      <c r="B467" s="0" t="n">
        <v>6</v>
      </c>
      <c r="C467" s="0" t="n">
        <v>55</v>
      </c>
      <c r="D467" s="0" t="n">
        <v>2004</v>
      </c>
      <c r="E467" s="0" t="n">
        <v>2025</v>
      </c>
      <c r="F467" s="1" t="s">
        <v>19</v>
      </c>
      <c r="G467" s="0" t="n">
        <v>70000000</v>
      </c>
      <c r="H467" s="0" t="n">
        <f aca="false">LN(G467/C467)</f>
        <v>14.0566726147812</v>
      </c>
      <c r="I467" s="0" t="n">
        <f aca="false">B467</f>
        <v>6</v>
      </c>
      <c r="J467" s="0" t="n">
        <f aca="false">E467-D467</f>
        <v>21</v>
      </c>
      <c r="K467" s="0" t="n">
        <f aca="false">C467</f>
        <v>55</v>
      </c>
      <c r="L467" s="0" t="n">
        <f aca="false">IF(F467="改装済み",1,0)</f>
        <v>0</v>
      </c>
      <c r="M467" s="0" t="n">
        <f aca="false">IF(A467="池尻大橋",1,0)</f>
        <v>0</v>
      </c>
      <c r="N467" s="0" t="n">
        <f aca="false">IF(A467="三軒茶屋",1,0)</f>
        <v>0</v>
      </c>
      <c r="O467" s="0" t="n">
        <f aca="false">IF(A467="駒沢大学",1,0)</f>
        <v>1</v>
      </c>
      <c r="P467" s="0" t="n">
        <f aca="false">IF(A467="桜新町",1,0)</f>
        <v>0</v>
      </c>
      <c r="Q467" s="0" t="n">
        <f aca="false">IF(A467="二子玉川",1,0)</f>
        <v>0</v>
      </c>
      <c r="R467" s="0" t="n">
        <f aca="false">IF(E467=2021,1,0)</f>
        <v>0</v>
      </c>
      <c r="S467" s="0" t="n">
        <f aca="false">IF(E467=2022,1,0)</f>
        <v>0</v>
      </c>
      <c r="T467" s="0" t="n">
        <f aca="false">IF(E467=2023,1,0)</f>
        <v>0</v>
      </c>
      <c r="U467" s="0" t="n">
        <f aca="false">IF(E467=2024,1,0)</f>
        <v>0</v>
      </c>
    </row>
    <row r="468" customFormat="false" ht="15" hidden="false" customHeight="false" outlineLevel="0" collapsed="false">
      <c r="A468" s="1" t="s">
        <v>11</v>
      </c>
      <c r="B468" s="0" t="n">
        <v>7</v>
      </c>
      <c r="C468" s="0" t="n">
        <v>65</v>
      </c>
      <c r="D468" s="0" t="n">
        <v>1985</v>
      </c>
      <c r="E468" s="0" t="n">
        <v>2025</v>
      </c>
      <c r="F468" s="1" t="s">
        <v>19</v>
      </c>
      <c r="G468" s="0" t="n">
        <v>66000000</v>
      </c>
      <c r="H468" s="0" t="n">
        <f aca="false">LN(G468/C468)</f>
        <v>13.8307780300951</v>
      </c>
      <c r="I468" s="0" t="n">
        <f aca="false">B468</f>
        <v>7</v>
      </c>
      <c r="J468" s="0" t="n">
        <f aca="false">E468-D468</f>
        <v>40</v>
      </c>
      <c r="K468" s="0" t="n">
        <f aca="false">C468</f>
        <v>65</v>
      </c>
      <c r="L468" s="0" t="n">
        <f aca="false">IF(F468="改装済み",1,0)</f>
        <v>0</v>
      </c>
      <c r="M468" s="0" t="n">
        <f aca="false">IF(A468="池尻大橋",1,0)</f>
        <v>0</v>
      </c>
      <c r="N468" s="0" t="n">
        <f aca="false">IF(A468="三軒茶屋",1,0)</f>
        <v>0</v>
      </c>
      <c r="O468" s="0" t="n">
        <f aca="false">IF(A468="駒沢大学",1,0)</f>
        <v>1</v>
      </c>
      <c r="P468" s="0" t="n">
        <f aca="false">IF(A468="桜新町",1,0)</f>
        <v>0</v>
      </c>
      <c r="Q468" s="0" t="n">
        <f aca="false">IF(A468="二子玉川",1,0)</f>
        <v>0</v>
      </c>
      <c r="R468" s="0" t="n">
        <f aca="false">IF(E468=2021,1,0)</f>
        <v>0</v>
      </c>
      <c r="S468" s="0" t="n">
        <f aca="false">IF(E468=2022,1,0)</f>
        <v>0</v>
      </c>
      <c r="T468" s="0" t="n">
        <f aca="false">IF(E468=2023,1,0)</f>
        <v>0</v>
      </c>
      <c r="U468" s="0" t="n">
        <f aca="false">IF(E468=2024,1,0)</f>
        <v>0</v>
      </c>
    </row>
    <row r="469" customFormat="false" ht="15" hidden="false" customHeight="false" outlineLevel="0" collapsed="false">
      <c r="A469" s="1" t="s">
        <v>11</v>
      </c>
      <c r="B469" s="0" t="n">
        <v>8</v>
      </c>
      <c r="C469" s="0" t="n">
        <v>50</v>
      </c>
      <c r="D469" s="0" t="n">
        <v>1994</v>
      </c>
      <c r="E469" s="0" t="n">
        <v>2025</v>
      </c>
      <c r="F469" s="1" t="s">
        <v>18</v>
      </c>
      <c r="G469" s="0" t="n">
        <v>49000000</v>
      </c>
      <c r="H469" s="0" t="n">
        <f aca="false">LN(G469/C469)</f>
        <v>13.7953078506468</v>
      </c>
      <c r="I469" s="0" t="n">
        <f aca="false">B469</f>
        <v>8</v>
      </c>
      <c r="J469" s="0" t="n">
        <f aca="false">E469-D469</f>
        <v>31</v>
      </c>
      <c r="K469" s="0" t="n">
        <f aca="false">C469</f>
        <v>50</v>
      </c>
      <c r="L469" s="0" t="n">
        <f aca="false">IF(F469="改装済み",1,0)</f>
        <v>1</v>
      </c>
      <c r="M469" s="0" t="n">
        <f aca="false">IF(A469="池尻大橋",1,0)</f>
        <v>0</v>
      </c>
      <c r="N469" s="0" t="n">
        <f aca="false">IF(A469="三軒茶屋",1,0)</f>
        <v>0</v>
      </c>
      <c r="O469" s="0" t="n">
        <f aca="false">IF(A469="駒沢大学",1,0)</f>
        <v>1</v>
      </c>
      <c r="P469" s="0" t="n">
        <f aca="false">IF(A469="桜新町",1,0)</f>
        <v>0</v>
      </c>
      <c r="Q469" s="0" t="n">
        <f aca="false">IF(A469="二子玉川",1,0)</f>
        <v>0</v>
      </c>
      <c r="R469" s="0" t="n">
        <f aca="false">IF(E469=2021,1,0)</f>
        <v>0</v>
      </c>
      <c r="S469" s="0" t="n">
        <f aca="false">IF(E469=2022,1,0)</f>
        <v>0</v>
      </c>
      <c r="T469" s="0" t="n">
        <f aca="false">IF(E469=2023,1,0)</f>
        <v>0</v>
      </c>
      <c r="U469" s="0" t="n">
        <f aca="false">IF(E469=2024,1,0)</f>
        <v>0</v>
      </c>
    </row>
    <row r="470" customFormat="false" ht="15" hidden="false" customHeight="false" outlineLevel="0" collapsed="false">
      <c r="A470" s="1" t="s">
        <v>11</v>
      </c>
      <c r="B470" s="0" t="n">
        <v>14</v>
      </c>
      <c r="C470" s="0" t="n">
        <v>70</v>
      </c>
      <c r="D470" s="0" t="n">
        <v>2008</v>
      </c>
      <c r="E470" s="0" t="n">
        <v>2024</v>
      </c>
      <c r="F470" s="1" t="s">
        <v>19</v>
      </c>
      <c r="G470" s="0" t="n">
        <v>85000000</v>
      </c>
      <c r="H470" s="0" t="n">
        <f aca="false">LN(G470/C470)</f>
        <v>14.0096665724052</v>
      </c>
      <c r="I470" s="0" t="n">
        <f aca="false">B470</f>
        <v>14</v>
      </c>
      <c r="J470" s="0" t="n">
        <f aca="false">E470-D470</f>
        <v>16</v>
      </c>
      <c r="K470" s="0" t="n">
        <f aca="false">C470</f>
        <v>70</v>
      </c>
      <c r="L470" s="0" t="n">
        <f aca="false">IF(F470="改装済み",1,0)</f>
        <v>0</v>
      </c>
      <c r="M470" s="0" t="n">
        <f aca="false">IF(A470="池尻大橋",1,0)</f>
        <v>0</v>
      </c>
      <c r="N470" s="0" t="n">
        <f aca="false">IF(A470="三軒茶屋",1,0)</f>
        <v>0</v>
      </c>
      <c r="O470" s="0" t="n">
        <f aca="false">IF(A470="駒沢大学",1,0)</f>
        <v>1</v>
      </c>
      <c r="P470" s="0" t="n">
        <f aca="false">IF(A470="桜新町",1,0)</f>
        <v>0</v>
      </c>
      <c r="Q470" s="0" t="n">
        <f aca="false">IF(A470="二子玉川",1,0)</f>
        <v>0</v>
      </c>
      <c r="R470" s="0" t="n">
        <f aca="false">IF(E470=2021,1,0)</f>
        <v>0</v>
      </c>
      <c r="S470" s="0" t="n">
        <f aca="false">IF(E470=2022,1,0)</f>
        <v>0</v>
      </c>
      <c r="T470" s="0" t="n">
        <f aca="false">IF(E470=2023,1,0)</f>
        <v>0</v>
      </c>
      <c r="U470" s="0" t="n">
        <f aca="false">IF(E470=2024,1,0)</f>
        <v>1</v>
      </c>
    </row>
    <row r="471" customFormat="false" ht="15" hidden="false" customHeight="false" outlineLevel="0" collapsed="false">
      <c r="A471" s="1" t="s">
        <v>11</v>
      </c>
      <c r="B471" s="0" t="n">
        <v>7</v>
      </c>
      <c r="C471" s="0" t="n">
        <v>60</v>
      </c>
      <c r="D471" s="0" t="n">
        <v>1985</v>
      </c>
      <c r="E471" s="0" t="n">
        <v>2023</v>
      </c>
      <c r="F471" s="1" t="s">
        <v>19</v>
      </c>
      <c r="G471" s="0" t="n">
        <v>46000000</v>
      </c>
      <c r="H471" s="0" t="n">
        <f aca="false">LN(G471/C471)</f>
        <v>13.5498073922313</v>
      </c>
      <c r="I471" s="0" t="n">
        <f aca="false">B471</f>
        <v>7</v>
      </c>
      <c r="J471" s="0" t="n">
        <f aca="false">E471-D471</f>
        <v>38</v>
      </c>
      <c r="K471" s="0" t="n">
        <f aca="false">C471</f>
        <v>60</v>
      </c>
      <c r="L471" s="0" t="n">
        <f aca="false">IF(F471="改装済み",1,0)</f>
        <v>0</v>
      </c>
      <c r="M471" s="0" t="n">
        <f aca="false">IF(A471="池尻大橋",1,0)</f>
        <v>0</v>
      </c>
      <c r="N471" s="0" t="n">
        <f aca="false">IF(A471="三軒茶屋",1,0)</f>
        <v>0</v>
      </c>
      <c r="O471" s="0" t="n">
        <f aca="false">IF(A471="駒沢大学",1,0)</f>
        <v>1</v>
      </c>
      <c r="P471" s="0" t="n">
        <f aca="false">IF(A471="桜新町",1,0)</f>
        <v>0</v>
      </c>
      <c r="Q471" s="0" t="n">
        <f aca="false">IF(A471="二子玉川",1,0)</f>
        <v>0</v>
      </c>
      <c r="R471" s="0" t="n">
        <f aca="false">IF(E471=2021,1,0)</f>
        <v>0</v>
      </c>
      <c r="S471" s="0" t="n">
        <f aca="false">IF(E471=2022,1,0)</f>
        <v>0</v>
      </c>
      <c r="T471" s="0" t="n">
        <f aca="false">IF(E471=2023,1,0)</f>
        <v>1</v>
      </c>
      <c r="U471" s="0" t="n">
        <f aca="false">IF(E471=2024,1,0)</f>
        <v>0</v>
      </c>
    </row>
    <row r="472" customFormat="false" ht="15" hidden="false" customHeight="false" outlineLevel="0" collapsed="false">
      <c r="A472" s="1" t="s">
        <v>11</v>
      </c>
      <c r="B472" s="0" t="n">
        <v>11</v>
      </c>
      <c r="C472" s="0" t="n">
        <v>55</v>
      </c>
      <c r="D472" s="0" t="n">
        <v>2007</v>
      </c>
      <c r="E472" s="0" t="n">
        <v>2023</v>
      </c>
      <c r="F472" s="1" t="s">
        <v>19</v>
      </c>
      <c r="G472" s="0" t="n">
        <v>66000000</v>
      </c>
      <c r="H472" s="0" t="n">
        <f aca="false">LN(G472/C472)</f>
        <v>13.9978321147582</v>
      </c>
      <c r="I472" s="0" t="n">
        <f aca="false">B472</f>
        <v>11</v>
      </c>
      <c r="J472" s="0" t="n">
        <f aca="false">E472-D472</f>
        <v>16</v>
      </c>
      <c r="K472" s="0" t="n">
        <f aca="false">C472</f>
        <v>55</v>
      </c>
      <c r="L472" s="0" t="n">
        <f aca="false">IF(F472="改装済み",1,0)</f>
        <v>0</v>
      </c>
      <c r="M472" s="0" t="n">
        <f aca="false">IF(A472="池尻大橋",1,0)</f>
        <v>0</v>
      </c>
      <c r="N472" s="0" t="n">
        <f aca="false">IF(A472="三軒茶屋",1,0)</f>
        <v>0</v>
      </c>
      <c r="O472" s="0" t="n">
        <f aca="false">IF(A472="駒沢大学",1,0)</f>
        <v>1</v>
      </c>
      <c r="P472" s="0" t="n">
        <f aca="false">IF(A472="桜新町",1,0)</f>
        <v>0</v>
      </c>
      <c r="Q472" s="0" t="n">
        <f aca="false">IF(A472="二子玉川",1,0)</f>
        <v>0</v>
      </c>
      <c r="R472" s="0" t="n">
        <f aca="false">IF(E472=2021,1,0)</f>
        <v>0</v>
      </c>
      <c r="S472" s="0" t="n">
        <f aca="false">IF(E472=2022,1,0)</f>
        <v>0</v>
      </c>
      <c r="T472" s="0" t="n">
        <f aca="false">IF(E472=2023,1,0)</f>
        <v>1</v>
      </c>
      <c r="U472" s="0" t="n">
        <f aca="false">IF(E472=2024,1,0)</f>
        <v>0</v>
      </c>
    </row>
    <row r="473" customFormat="false" ht="15" hidden="false" customHeight="false" outlineLevel="0" collapsed="false">
      <c r="A473" s="1" t="s">
        <v>11</v>
      </c>
      <c r="B473" s="0" t="n">
        <v>14</v>
      </c>
      <c r="C473" s="0" t="n">
        <v>55</v>
      </c>
      <c r="D473" s="0" t="n">
        <v>2005</v>
      </c>
      <c r="E473" s="0" t="n">
        <v>2023</v>
      </c>
      <c r="F473" s="1" t="s">
        <v>19</v>
      </c>
      <c r="G473" s="0" t="n">
        <v>40000000</v>
      </c>
      <c r="H473" s="0" t="n">
        <f aca="false">LN(G473/C473)</f>
        <v>13.4970568268457</v>
      </c>
      <c r="I473" s="0" t="n">
        <f aca="false">B473</f>
        <v>14</v>
      </c>
      <c r="J473" s="0" t="n">
        <f aca="false">E473-D473</f>
        <v>18</v>
      </c>
      <c r="K473" s="0" t="n">
        <f aca="false">C473</f>
        <v>55</v>
      </c>
      <c r="L473" s="0" t="n">
        <f aca="false">IF(F473="改装済み",1,0)</f>
        <v>0</v>
      </c>
      <c r="M473" s="0" t="n">
        <f aca="false">IF(A473="池尻大橋",1,0)</f>
        <v>0</v>
      </c>
      <c r="N473" s="0" t="n">
        <f aca="false">IF(A473="三軒茶屋",1,0)</f>
        <v>0</v>
      </c>
      <c r="O473" s="0" t="n">
        <f aca="false">IF(A473="駒沢大学",1,0)</f>
        <v>1</v>
      </c>
      <c r="P473" s="0" t="n">
        <f aca="false">IF(A473="桜新町",1,0)</f>
        <v>0</v>
      </c>
      <c r="Q473" s="0" t="n">
        <f aca="false">IF(A473="二子玉川",1,0)</f>
        <v>0</v>
      </c>
      <c r="R473" s="0" t="n">
        <f aca="false">IF(E473=2021,1,0)</f>
        <v>0</v>
      </c>
      <c r="S473" s="0" t="n">
        <f aca="false">IF(E473=2022,1,0)</f>
        <v>0</v>
      </c>
      <c r="T473" s="0" t="n">
        <f aca="false">IF(E473=2023,1,0)</f>
        <v>1</v>
      </c>
      <c r="U473" s="0" t="n">
        <f aca="false">IF(E473=2024,1,0)</f>
        <v>0</v>
      </c>
    </row>
    <row r="474" customFormat="false" ht="15" hidden="false" customHeight="false" outlineLevel="0" collapsed="false">
      <c r="A474" s="1" t="s">
        <v>11</v>
      </c>
      <c r="B474" s="0" t="n">
        <v>8</v>
      </c>
      <c r="C474" s="0" t="n">
        <v>50</v>
      </c>
      <c r="D474" s="0" t="n">
        <v>1994</v>
      </c>
      <c r="E474" s="0" t="n">
        <v>2022</v>
      </c>
      <c r="F474" s="1" t="s">
        <v>18</v>
      </c>
      <c r="G474" s="0" t="n">
        <v>50000000</v>
      </c>
      <c r="H474" s="0" t="n">
        <f aca="false">LN(G474/C474)</f>
        <v>13.8155105579643</v>
      </c>
      <c r="I474" s="0" t="n">
        <f aca="false">B474</f>
        <v>8</v>
      </c>
      <c r="J474" s="0" t="n">
        <f aca="false">E474-D474</f>
        <v>28</v>
      </c>
      <c r="K474" s="0" t="n">
        <f aca="false">C474</f>
        <v>50</v>
      </c>
      <c r="L474" s="0" t="n">
        <f aca="false">IF(F474="改装済み",1,0)</f>
        <v>1</v>
      </c>
      <c r="M474" s="0" t="n">
        <f aca="false">IF(A474="池尻大橋",1,0)</f>
        <v>0</v>
      </c>
      <c r="N474" s="0" t="n">
        <f aca="false">IF(A474="三軒茶屋",1,0)</f>
        <v>0</v>
      </c>
      <c r="O474" s="0" t="n">
        <f aca="false">IF(A474="駒沢大学",1,0)</f>
        <v>1</v>
      </c>
      <c r="P474" s="0" t="n">
        <f aca="false">IF(A474="桜新町",1,0)</f>
        <v>0</v>
      </c>
      <c r="Q474" s="0" t="n">
        <f aca="false">IF(A474="二子玉川",1,0)</f>
        <v>0</v>
      </c>
      <c r="R474" s="0" t="n">
        <f aca="false">IF(E474=2021,1,0)</f>
        <v>0</v>
      </c>
      <c r="S474" s="0" t="n">
        <f aca="false">IF(E474=2022,1,0)</f>
        <v>1</v>
      </c>
      <c r="T474" s="0" t="n">
        <f aca="false">IF(E474=2023,1,0)</f>
        <v>0</v>
      </c>
      <c r="U474" s="0" t="n">
        <f aca="false">IF(E474=2024,1,0)</f>
        <v>0</v>
      </c>
    </row>
    <row r="475" customFormat="false" ht="15" hidden="false" customHeight="false" outlineLevel="0" collapsed="false">
      <c r="A475" s="1" t="s">
        <v>11</v>
      </c>
      <c r="B475" s="0" t="n">
        <v>12</v>
      </c>
      <c r="C475" s="0" t="n">
        <v>60</v>
      </c>
      <c r="D475" s="0" t="n">
        <v>2014</v>
      </c>
      <c r="E475" s="0" t="n">
        <v>2022</v>
      </c>
      <c r="F475" s="1" t="s">
        <v>19</v>
      </c>
      <c r="G475" s="0" t="n">
        <v>71000000</v>
      </c>
      <c r="H475" s="0" t="n">
        <f aca="false">LN(G475/C475)</f>
        <v>13.9838458727835</v>
      </c>
      <c r="I475" s="0" t="n">
        <f aca="false">B475</f>
        <v>12</v>
      </c>
      <c r="J475" s="0" t="n">
        <f aca="false">E475-D475</f>
        <v>8</v>
      </c>
      <c r="K475" s="0" t="n">
        <f aca="false">C475</f>
        <v>60</v>
      </c>
      <c r="L475" s="0" t="n">
        <f aca="false">IF(F475="改装済み",1,0)</f>
        <v>0</v>
      </c>
      <c r="M475" s="0" t="n">
        <f aca="false">IF(A475="池尻大橋",1,0)</f>
        <v>0</v>
      </c>
      <c r="N475" s="0" t="n">
        <f aca="false">IF(A475="三軒茶屋",1,0)</f>
        <v>0</v>
      </c>
      <c r="O475" s="0" t="n">
        <f aca="false">IF(A475="駒沢大学",1,0)</f>
        <v>1</v>
      </c>
      <c r="P475" s="0" t="n">
        <f aca="false">IF(A475="桜新町",1,0)</f>
        <v>0</v>
      </c>
      <c r="Q475" s="0" t="n">
        <f aca="false">IF(A475="二子玉川",1,0)</f>
        <v>0</v>
      </c>
      <c r="R475" s="0" t="n">
        <f aca="false">IF(E475=2021,1,0)</f>
        <v>0</v>
      </c>
      <c r="S475" s="0" t="n">
        <f aca="false">IF(E475=2022,1,0)</f>
        <v>1</v>
      </c>
      <c r="T475" s="0" t="n">
        <f aca="false">IF(E475=2023,1,0)</f>
        <v>0</v>
      </c>
      <c r="U475" s="0" t="n">
        <f aca="false">IF(E475=2024,1,0)</f>
        <v>0</v>
      </c>
    </row>
    <row r="476" customFormat="false" ht="15" hidden="false" customHeight="false" outlineLevel="0" collapsed="false">
      <c r="A476" s="1" t="s">
        <v>11</v>
      </c>
      <c r="B476" s="0" t="n">
        <v>15</v>
      </c>
      <c r="C476" s="0" t="n">
        <v>75</v>
      </c>
      <c r="D476" s="0" t="n">
        <v>2004</v>
      </c>
      <c r="E476" s="0" t="n">
        <v>2021</v>
      </c>
      <c r="F476" s="1" t="s">
        <v>19</v>
      </c>
      <c r="G476" s="0" t="n">
        <v>70000000</v>
      </c>
      <c r="H476" s="0" t="n">
        <f aca="false">LN(G476/C476)</f>
        <v>13.7465176864773</v>
      </c>
      <c r="I476" s="0" t="n">
        <f aca="false">B476</f>
        <v>15</v>
      </c>
      <c r="J476" s="0" t="n">
        <f aca="false">E476-D476</f>
        <v>17</v>
      </c>
      <c r="K476" s="0" t="n">
        <f aca="false">C476</f>
        <v>75</v>
      </c>
      <c r="L476" s="0" t="n">
        <f aca="false">IF(F476="改装済み",1,0)</f>
        <v>0</v>
      </c>
      <c r="M476" s="0" t="n">
        <f aca="false">IF(A476="池尻大橋",1,0)</f>
        <v>0</v>
      </c>
      <c r="N476" s="0" t="n">
        <f aca="false">IF(A476="三軒茶屋",1,0)</f>
        <v>0</v>
      </c>
      <c r="O476" s="0" t="n">
        <f aca="false">IF(A476="駒沢大学",1,0)</f>
        <v>1</v>
      </c>
      <c r="P476" s="0" t="n">
        <f aca="false">IF(A476="桜新町",1,0)</f>
        <v>0</v>
      </c>
      <c r="Q476" s="0" t="n">
        <f aca="false">IF(A476="二子玉川",1,0)</f>
        <v>0</v>
      </c>
      <c r="R476" s="0" t="n">
        <f aca="false">IF(E476=2021,1,0)</f>
        <v>1</v>
      </c>
      <c r="S476" s="0" t="n">
        <f aca="false">IF(E476=2022,1,0)</f>
        <v>0</v>
      </c>
      <c r="T476" s="0" t="n">
        <f aca="false">IF(E476=2023,1,0)</f>
        <v>0</v>
      </c>
      <c r="U476" s="0" t="n">
        <f aca="false">IF(E476=2024,1,0)</f>
        <v>0</v>
      </c>
    </row>
    <row r="477" customFormat="false" ht="15" hidden="false" customHeight="false" outlineLevel="0" collapsed="false">
      <c r="A477" s="1" t="s">
        <v>11</v>
      </c>
      <c r="B477" s="0" t="n">
        <v>15</v>
      </c>
      <c r="C477" s="0" t="n">
        <v>60</v>
      </c>
      <c r="D477" s="0" t="n">
        <v>1967</v>
      </c>
      <c r="E477" s="0" t="n">
        <v>2021</v>
      </c>
      <c r="F477" s="1" t="s">
        <v>18</v>
      </c>
      <c r="G477" s="0" t="n">
        <v>53000000</v>
      </c>
      <c r="H477" s="0" t="n">
        <f aca="false">LN(G477/C477)</f>
        <v>13.6914579092943</v>
      </c>
      <c r="I477" s="0" t="n">
        <f aca="false">B477</f>
        <v>15</v>
      </c>
      <c r="J477" s="0" t="n">
        <f aca="false">E477-D477</f>
        <v>54</v>
      </c>
      <c r="K477" s="0" t="n">
        <f aca="false">C477</f>
        <v>60</v>
      </c>
      <c r="L477" s="0" t="n">
        <f aca="false">IF(F477="改装済み",1,0)</f>
        <v>1</v>
      </c>
      <c r="M477" s="0" t="n">
        <f aca="false">IF(A477="池尻大橋",1,0)</f>
        <v>0</v>
      </c>
      <c r="N477" s="0" t="n">
        <f aca="false">IF(A477="三軒茶屋",1,0)</f>
        <v>0</v>
      </c>
      <c r="O477" s="0" t="n">
        <f aca="false">IF(A477="駒沢大学",1,0)</f>
        <v>1</v>
      </c>
      <c r="P477" s="0" t="n">
        <f aca="false">IF(A477="桜新町",1,0)</f>
        <v>0</v>
      </c>
      <c r="Q477" s="0" t="n">
        <f aca="false">IF(A477="二子玉川",1,0)</f>
        <v>0</v>
      </c>
      <c r="R477" s="0" t="n">
        <f aca="false">IF(E477=2021,1,0)</f>
        <v>1</v>
      </c>
      <c r="S477" s="0" t="n">
        <f aca="false">IF(E477=2022,1,0)</f>
        <v>0</v>
      </c>
      <c r="T477" s="0" t="n">
        <f aca="false">IF(E477=2023,1,0)</f>
        <v>0</v>
      </c>
      <c r="U477" s="0" t="n">
        <f aca="false">IF(E477=2024,1,0)</f>
        <v>0</v>
      </c>
    </row>
    <row r="478" customFormat="false" ht="15" hidden="false" customHeight="false" outlineLevel="0" collapsed="false">
      <c r="A478" s="1" t="s">
        <v>11</v>
      </c>
      <c r="B478" s="0" t="n">
        <v>15</v>
      </c>
      <c r="C478" s="0" t="n">
        <v>60</v>
      </c>
      <c r="D478" s="0" t="n">
        <v>1967</v>
      </c>
      <c r="E478" s="0" t="n">
        <v>2021</v>
      </c>
      <c r="F478" s="1" t="s">
        <v>19</v>
      </c>
      <c r="G478" s="0" t="n">
        <v>40000000</v>
      </c>
      <c r="H478" s="0" t="n">
        <f aca="false">LN(G478/C478)</f>
        <v>13.4100454498561</v>
      </c>
      <c r="I478" s="0" t="n">
        <f aca="false">B478</f>
        <v>15</v>
      </c>
      <c r="J478" s="0" t="n">
        <f aca="false">E478-D478</f>
        <v>54</v>
      </c>
      <c r="K478" s="0" t="n">
        <f aca="false">C478</f>
        <v>60</v>
      </c>
      <c r="L478" s="0" t="n">
        <f aca="false">IF(F478="改装済み",1,0)</f>
        <v>0</v>
      </c>
      <c r="M478" s="0" t="n">
        <f aca="false">IF(A478="池尻大橋",1,0)</f>
        <v>0</v>
      </c>
      <c r="N478" s="0" t="n">
        <f aca="false">IF(A478="三軒茶屋",1,0)</f>
        <v>0</v>
      </c>
      <c r="O478" s="0" t="n">
        <f aca="false">IF(A478="駒沢大学",1,0)</f>
        <v>1</v>
      </c>
      <c r="P478" s="0" t="n">
        <f aca="false">IF(A478="桜新町",1,0)</f>
        <v>0</v>
      </c>
      <c r="Q478" s="0" t="n">
        <f aca="false">IF(A478="二子玉川",1,0)</f>
        <v>0</v>
      </c>
      <c r="R478" s="0" t="n">
        <f aca="false">IF(E478=2021,1,0)</f>
        <v>1</v>
      </c>
      <c r="S478" s="0" t="n">
        <f aca="false">IF(E478=2022,1,0)</f>
        <v>0</v>
      </c>
      <c r="T478" s="0" t="n">
        <f aca="false">IF(E478=2023,1,0)</f>
        <v>0</v>
      </c>
      <c r="U478" s="0" t="n">
        <f aca="false">IF(E478=2024,1,0)</f>
        <v>0</v>
      </c>
    </row>
    <row r="479" customFormat="false" ht="15" hidden="false" customHeight="false" outlineLevel="0" collapsed="false">
      <c r="A479" s="1" t="s">
        <v>10</v>
      </c>
      <c r="B479" s="0" t="n">
        <v>13</v>
      </c>
      <c r="C479" s="0" t="n">
        <v>65</v>
      </c>
      <c r="D479" s="0" t="n">
        <v>2025</v>
      </c>
      <c r="E479" s="0" t="n">
        <v>2025</v>
      </c>
      <c r="F479" s="1" t="s">
        <v>19</v>
      </c>
      <c r="G479" s="0" t="n">
        <v>80000000</v>
      </c>
      <c r="H479" s="0" t="n">
        <f aca="false">LN(G479/C479)</f>
        <v>14.0231499227425</v>
      </c>
      <c r="I479" s="0" t="n">
        <f aca="false">B479</f>
        <v>13</v>
      </c>
      <c r="J479" s="0" t="n">
        <f aca="false">E479-D479</f>
        <v>0</v>
      </c>
      <c r="K479" s="0" t="n">
        <f aca="false">C479</f>
        <v>65</v>
      </c>
      <c r="L479" s="0" t="n">
        <f aca="false">IF(F479="改装済み",1,0)</f>
        <v>0</v>
      </c>
      <c r="M479" s="0" t="n">
        <f aca="false">IF(A479="池尻大橋",1,0)</f>
        <v>0</v>
      </c>
      <c r="N479" s="0" t="n">
        <f aca="false">IF(A479="三軒茶屋",1,0)</f>
        <v>1</v>
      </c>
      <c r="O479" s="0" t="n">
        <f aca="false">IF(A479="駒沢大学",1,0)</f>
        <v>0</v>
      </c>
      <c r="P479" s="0" t="n">
        <f aca="false">IF(A479="桜新町",1,0)</f>
        <v>0</v>
      </c>
      <c r="Q479" s="0" t="n">
        <f aca="false">IF(A479="二子玉川",1,0)</f>
        <v>0</v>
      </c>
      <c r="R479" s="0" t="n">
        <f aca="false">IF(E479=2021,1,0)</f>
        <v>0</v>
      </c>
      <c r="S479" s="0" t="n">
        <f aca="false">IF(E479=2022,1,0)</f>
        <v>0</v>
      </c>
      <c r="T479" s="0" t="n">
        <f aca="false">IF(E479=2023,1,0)</f>
        <v>0</v>
      </c>
      <c r="U479" s="0" t="n">
        <f aca="false">IF(E479=2024,1,0)</f>
        <v>0</v>
      </c>
    </row>
    <row r="480" customFormat="false" ht="15" hidden="false" customHeight="false" outlineLevel="0" collapsed="false">
      <c r="A480" s="1" t="s">
        <v>10</v>
      </c>
      <c r="B480" s="0" t="n">
        <v>11</v>
      </c>
      <c r="C480" s="0" t="n">
        <v>90</v>
      </c>
      <c r="D480" s="0" t="n">
        <v>2000</v>
      </c>
      <c r="E480" s="0" t="n">
        <v>2022</v>
      </c>
      <c r="F480" s="1" t="s">
        <v>19</v>
      </c>
      <c r="G480" s="0" t="n">
        <v>96000000</v>
      </c>
      <c r="H480" s="0" t="n">
        <f aca="false">LN(G480/C480)</f>
        <v>13.8800490791018</v>
      </c>
      <c r="I480" s="0" t="n">
        <f aca="false">B480</f>
        <v>11</v>
      </c>
      <c r="J480" s="0" t="n">
        <f aca="false">E480-D480</f>
        <v>22</v>
      </c>
      <c r="K480" s="0" t="n">
        <f aca="false">C480</f>
        <v>90</v>
      </c>
      <c r="L480" s="0" t="n">
        <f aca="false">IF(F480="改装済み",1,0)</f>
        <v>0</v>
      </c>
      <c r="M480" s="0" t="n">
        <f aca="false">IF(A480="池尻大橋",1,0)</f>
        <v>0</v>
      </c>
      <c r="N480" s="0" t="n">
        <f aca="false">IF(A480="三軒茶屋",1,0)</f>
        <v>1</v>
      </c>
      <c r="O480" s="0" t="n">
        <f aca="false">IF(A480="駒沢大学",1,0)</f>
        <v>0</v>
      </c>
      <c r="P480" s="0" t="n">
        <f aca="false">IF(A480="桜新町",1,0)</f>
        <v>0</v>
      </c>
      <c r="Q480" s="0" t="n">
        <f aca="false">IF(A480="二子玉川",1,0)</f>
        <v>0</v>
      </c>
      <c r="R480" s="0" t="n">
        <f aca="false">IF(E480=2021,1,0)</f>
        <v>0</v>
      </c>
      <c r="S480" s="0" t="n">
        <f aca="false">IF(E480=2022,1,0)</f>
        <v>1</v>
      </c>
      <c r="T480" s="0" t="n">
        <f aca="false">IF(E480=2023,1,0)</f>
        <v>0</v>
      </c>
      <c r="U480" s="0" t="n">
        <f aca="false">IF(E480=2024,1,0)</f>
        <v>0</v>
      </c>
    </row>
    <row r="481" customFormat="false" ht="15" hidden="false" customHeight="false" outlineLevel="0" collapsed="false">
      <c r="A481" s="1" t="s">
        <v>10</v>
      </c>
      <c r="B481" s="0" t="n">
        <v>12</v>
      </c>
      <c r="C481" s="0" t="n">
        <v>80</v>
      </c>
      <c r="D481" s="0" t="n">
        <v>2000</v>
      </c>
      <c r="E481" s="0" t="n">
        <v>2022</v>
      </c>
      <c r="F481" s="1" t="s">
        <v>19</v>
      </c>
      <c r="G481" s="0" t="n">
        <v>78000000</v>
      </c>
      <c r="H481" s="0" t="n">
        <f aca="false">LN(G481/C481)</f>
        <v>13.79019274998</v>
      </c>
      <c r="I481" s="0" t="n">
        <f aca="false">B481</f>
        <v>12</v>
      </c>
      <c r="J481" s="0" t="n">
        <f aca="false">E481-D481</f>
        <v>22</v>
      </c>
      <c r="K481" s="0" t="n">
        <f aca="false">C481</f>
        <v>80</v>
      </c>
      <c r="L481" s="0" t="n">
        <f aca="false">IF(F481="改装済み",1,0)</f>
        <v>0</v>
      </c>
      <c r="M481" s="0" t="n">
        <f aca="false">IF(A481="池尻大橋",1,0)</f>
        <v>0</v>
      </c>
      <c r="N481" s="0" t="n">
        <f aca="false">IF(A481="三軒茶屋",1,0)</f>
        <v>1</v>
      </c>
      <c r="O481" s="0" t="n">
        <f aca="false">IF(A481="駒沢大学",1,0)</f>
        <v>0</v>
      </c>
      <c r="P481" s="0" t="n">
        <f aca="false">IF(A481="桜新町",1,0)</f>
        <v>0</v>
      </c>
      <c r="Q481" s="0" t="n">
        <f aca="false">IF(A481="二子玉川",1,0)</f>
        <v>0</v>
      </c>
      <c r="R481" s="0" t="n">
        <f aca="false">IF(E481=2021,1,0)</f>
        <v>0</v>
      </c>
      <c r="S481" s="0" t="n">
        <f aca="false">IF(E481=2022,1,0)</f>
        <v>1</v>
      </c>
      <c r="T481" s="0" t="n">
        <f aca="false">IF(E481=2023,1,0)</f>
        <v>0</v>
      </c>
      <c r="U481" s="0" t="n">
        <f aca="false">IF(E481=2024,1,0)</f>
        <v>0</v>
      </c>
    </row>
    <row r="482" customFormat="false" ht="15" hidden="false" customHeight="false" outlineLevel="0" collapsed="false">
      <c r="A482" s="1" t="s">
        <v>11</v>
      </c>
      <c r="B482" s="0" t="n">
        <v>20</v>
      </c>
      <c r="C482" s="0" t="n">
        <v>80</v>
      </c>
      <c r="D482" s="0" t="n">
        <v>1999</v>
      </c>
      <c r="E482" s="0" t="n">
        <v>2025</v>
      </c>
      <c r="F482" s="1" t="s">
        <v>18</v>
      </c>
      <c r="G482" s="0" t="n">
        <v>110000000</v>
      </c>
      <c r="H482" s="0" t="n">
        <f aca="false">LN(G482/C482)</f>
        <v>14.1339642890828</v>
      </c>
      <c r="I482" s="0" t="n">
        <f aca="false">B482</f>
        <v>20</v>
      </c>
      <c r="J482" s="0" t="n">
        <f aca="false">E482-D482</f>
        <v>26</v>
      </c>
      <c r="K482" s="0" t="n">
        <f aca="false">C482</f>
        <v>80</v>
      </c>
      <c r="L482" s="0" t="n">
        <f aca="false">IF(F482="改装済み",1,0)</f>
        <v>1</v>
      </c>
      <c r="M482" s="0" t="n">
        <f aca="false">IF(A482="池尻大橋",1,0)</f>
        <v>0</v>
      </c>
      <c r="N482" s="0" t="n">
        <f aca="false">IF(A482="三軒茶屋",1,0)</f>
        <v>0</v>
      </c>
      <c r="O482" s="0" t="n">
        <f aca="false">IF(A482="駒沢大学",1,0)</f>
        <v>1</v>
      </c>
      <c r="P482" s="0" t="n">
        <f aca="false">IF(A482="桜新町",1,0)</f>
        <v>0</v>
      </c>
      <c r="Q482" s="0" t="n">
        <f aca="false">IF(A482="二子玉川",1,0)</f>
        <v>0</v>
      </c>
      <c r="R482" s="0" t="n">
        <f aca="false">IF(E482=2021,1,0)</f>
        <v>0</v>
      </c>
      <c r="S482" s="0" t="n">
        <f aca="false">IF(E482=2022,1,0)</f>
        <v>0</v>
      </c>
      <c r="T482" s="0" t="n">
        <f aca="false">IF(E482=2023,1,0)</f>
        <v>0</v>
      </c>
      <c r="U482" s="0" t="n">
        <f aca="false">IF(E482=2024,1,0)</f>
        <v>0</v>
      </c>
    </row>
    <row r="483" customFormat="false" ht="15" hidden="false" customHeight="false" outlineLevel="0" collapsed="false">
      <c r="A483" s="1" t="s">
        <v>11</v>
      </c>
      <c r="B483" s="0" t="n">
        <v>16</v>
      </c>
      <c r="C483" s="0" t="n">
        <v>70</v>
      </c>
      <c r="D483" s="0" t="n">
        <v>1995</v>
      </c>
      <c r="E483" s="0" t="n">
        <v>2025</v>
      </c>
      <c r="F483" s="1" t="s">
        <v>19</v>
      </c>
      <c r="G483" s="0" t="n">
        <v>86000000</v>
      </c>
      <c r="H483" s="0" t="n">
        <f aca="false">LN(G483/C483)</f>
        <v>14.0213626121684</v>
      </c>
      <c r="I483" s="0" t="n">
        <f aca="false">B483</f>
        <v>16</v>
      </c>
      <c r="J483" s="0" t="n">
        <f aca="false">E483-D483</f>
        <v>30</v>
      </c>
      <c r="K483" s="0" t="n">
        <f aca="false">C483</f>
        <v>70</v>
      </c>
      <c r="L483" s="0" t="n">
        <f aca="false">IF(F483="改装済み",1,0)</f>
        <v>0</v>
      </c>
      <c r="M483" s="0" t="n">
        <f aca="false">IF(A483="池尻大橋",1,0)</f>
        <v>0</v>
      </c>
      <c r="N483" s="0" t="n">
        <f aca="false">IF(A483="三軒茶屋",1,0)</f>
        <v>0</v>
      </c>
      <c r="O483" s="0" t="n">
        <f aca="false">IF(A483="駒沢大学",1,0)</f>
        <v>1</v>
      </c>
      <c r="P483" s="0" t="n">
        <f aca="false">IF(A483="桜新町",1,0)</f>
        <v>0</v>
      </c>
      <c r="Q483" s="0" t="n">
        <f aca="false">IF(A483="二子玉川",1,0)</f>
        <v>0</v>
      </c>
      <c r="R483" s="0" t="n">
        <f aca="false">IF(E483=2021,1,0)</f>
        <v>0</v>
      </c>
      <c r="S483" s="0" t="n">
        <f aca="false">IF(E483=2022,1,0)</f>
        <v>0</v>
      </c>
      <c r="T483" s="0" t="n">
        <f aca="false">IF(E483=2023,1,0)</f>
        <v>0</v>
      </c>
      <c r="U483" s="0" t="n">
        <f aca="false">IF(E483=2024,1,0)</f>
        <v>0</v>
      </c>
    </row>
    <row r="484" customFormat="false" ht="15" hidden="false" customHeight="false" outlineLevel="0" collapsed="false">
      <c r="A484" s="1" t="s">
        <v>11</v>
      </c>
      <c r="B484" s="0" t="n">
        <v>15</v>
      </c>
      <c r="C484" s="0" t="n">
        <v>120</v>
      </c>
      <c r="D484" s="0" t="n">
        <v>2001</v>
      </c>
      <c r="E484" s="0" t="n">
        <v>2025</v>
      </c>
      <c r="F484" s="1" t="s">
        <v>19</v>
      </c>
      <c r="G484" s="0" t="n">
        <v>120000000</v>
      </c>
      <c r="H484" s="0" t="n">
        <f aca="false">LN(G484/C484)</f>
        <v>13.8155105579643</v>
      </c>
      <c r="I484" s="0" t="n">
        <f aca="false">B484</f>
        <v>15</v>
      </c>
      <c r="J484" s="0" t="n">
        <f aca="false">E484-D484</f>
        <v>24</v>
      </c>
      <c r="K484" s="0" t="n">
        <f aca="false">C484</f>
        <v>120</v>
      </c>
      <c r="L484" s="0" t="n">
        <f aca="false">IF(F484="改装済み",1,0)</f>
        <v>0</v>
      </c>
      <c r="M484" s="0" t="n">
        <f aca="false">IF(A484="池尻大橋",1,0)</f>
        <v>0</v>
      </c>
      <c r="N484" s="0" t="n">
        <f aca="false">IF(A484="三軒茶屋",1,0)</f>
        <v>0</v>
      </c>
      <c r="O484" s="0" t="n">
        <f aca="false">IF(A484="駒沢大学",1,0)</f>
        <v>1</v>
      </c>
      <c r="P484" s="0" t="n">
        <f aca="false">IF(A484="桜新町",1,0)</f>
        <v>0</v>
      </c>
      <c r="Q484" s="0" t="n">
        <f aca="false">IF(A484="二子玉川",1,0)</f>
        <v>0</v>
      </c>
      <c r="R484" s="0" t="n">
        <f aca="false">IF(E484=2021,1,0)</f>
        <v>0</v>
      </c>
      <c r="S484" s="0" t="n">
        <f aca="false">IF(E484=2022,1,0)</f>
        <v>0</v>
      </c>
      <c r="T484" s="0" t="n">
        <f aca="false">IF(E484=2023,1,0)</f>
        <v>0</v>
      </c>
      <c r="U484" s="0" t="n">
        <f aca="false">IF(E484=2024,1,0)</f>
        <v>0</v>
      </c>
    </row>
    <row r="485" customFormat="false" ht="15" hidden="false" customHeight="false" outlineLevel="0" collapsed="false">
      <c r="A485" s="1" t="s">
        <v>11</v>
      </c>
      <c r="B485" s="0" t="n">
        <v>16</v>
      </c>
      <c r="C485" s="0" t="n">
        <v>70</v>
      </c>
      <c r="D485" s="0" t="n">
        <v>2000</v>
      </c>
      <c r="E485" s="0" t="n">
        <v>2024</v>
      </c>
      <c r="F485" s="1" t="s">
        <v>18</v>
      </c>
      <c r="G485" s="0" t="n">
        <v>77000000</v>
      </c>
      <c r="H485" s="0" t="n">
        <f aca="false">LN(G485/C485)</f>
        <v>13.9108207377686</v>
      </c>
      <c r="I485" s="0" t="n">
        <f aca="false">B485</f>
        <v>16</v>
      </c>
      <c r="J485" s="0" t="n">
        <f aca="false">E485-D485</f>
        <v>24</v>
      </c>
      <c r="K485" s="0" t="n">
        <f aca="false">C485</f>
        <v>70</v>
      </c>
      <c r="L485" s="0" t="n">
        <f aca="false">IF(F485="改装済み",1,0)</f>
        <v>1</v>
      </c>
      <c r="M485" s="0" t="n">
        <f aca="false">IF(A485="池尻大橋",1,0)</f>
        <v>0</v>
      </c>
      <c r="N485" s="0" t="n">
        <f aca="false">IF(A485="三軒茶屋",1,0)</f>
        <v>0</v>
      </c>
      <c r="O485" s="0" t="n">
        <f aca="false">IF(A485="駒沢大学",1,0)</f>
        <v>1</v>
      </c>
      <c r="P485" s="0" t="n">
        <f aca="false">IF(A485="桜新町",1,0)</f>
        <v>0</v>
      </c>
      <c r="Q485" s="0" t="n">
        <f aca="false">IF(A485="二子玉川",1,0)</f>
        <v>0</v>
      </c>
      <c r="R485" s="0" t="n">
        <f aca="false">IF(E485=2021,1,0)</f>
        <v>0</v>
      </c>
      <c r="S485" s="0" t="n">
        <f aca="false">IF(E485=2022,1,0)</f>
        <v>0</v>
      </c>
      <c r="T485" s="0" t="n">
        <f aca="false">IF(E485=2023,1,0)</f>
        <v>0</v>
      </c>
      <c r="U485" s="0" t="n">
        <f aca="false">IF(E485=2024,1,0)</f>
        <v>1</v>
      </c>
    </row>
    <row r="486" customFormat="false" ht="15" hidden="false" customHeight="false" outlineLevel="0" collapsed="false">
      <c r="A486" s="1" t="s">
        <v>11</v>
      </c>
      <c r="B486" s="0" t="n">
        <v>20</v>
      </c>
      <c r="C486" s="0" t="n">
        <v>60</v>
      </c>
      <c r="D486" s="0" t="n">
        <v>1999</v>
      </c>
      <c r="E486" s="0" t="n">
        <v>2024</v>
      </c>
      <c r="F486" s="1" t="s">
        <v>19</v>
      </c>
      <c r="G486" s="0" t="n">
        <v>80000000</v>
      </c>
      <c r="H486" s="0" t="n">
        <f aca="false">LN(G486/C486)</f>
        <v>14.1031926304161</v>
      </c>
      <c r="I486" s="0" t="n">
        <f aca="false">B486</f>
        <v>20</v>
      </c>
      <c r="J486" s="0" t="n">
        <f aca="false">E486-D486</f>
        <v>25</v>
      </c>
      <c r="K486" s="0" t="n">
        <f aca="false">C486</f>
        <v>60</v>
      </c>
      <c r="L486" s="0" t="n">
        <f aca="false">IF(F486="改装済み",1,0)</f>
        <v>0</v>
      </c>
      <c r="M486" s="0" t="n">
        <f aca="false">IF(A486="池尻大橋",1,0)</f>
        <v>0</v>
      </c>
      <c r="N486" s="0" t="n">
        <f aca="false">IF(A486="三軒茶屋",1,0)</f>
        <v>0</v>
      </c>
      <c r="O486" s="0" t="n">
        <f aca="false">IF(A486="駒沢大学",1,0)</f>
        <v>1</v>
      </c>
      <c r="P486" s="0" t="n">
        <f aca="false">IF(A486="桜新町",1,0)</f>
        <v>0</v>
      </c>
      <c r="Q486" s="0" t="n">
        <f aca="false">IF(A486="二子玉川",1,0)</f>
        <v>0</v>
      </c>
      <c r="R486" s="0" t="n">
        <f aca="false">IF(E486=2021,1,0)</f>
        <v>0</v>
      </c>
      <c r="S486" s="0" t="n">
        <f aca="false">IF(E486=2022,1,0)</f>
        <v>0</v>
      </c>
      <c r="T486" s="0" t="n">
        <f aca="false">IF(E486=2023,1,0)</f>
        <v>0</v>
      </c>
      <c r="U486" s="0" t="n">
        <f aca="false">IF(E486=2024,1,0)</f>
        <v>1</v>
      </c>
    </row>
    <row r="487" customFormat="false" ht="15" hidden="false" customHeight="false" outlineLevel="0" collapsed="false">
      <c r="A487" s="1" t="s">
        <v>11</v>
      </c>
      <c r="B487" s="0" t="n">
        <v>15</v>
      </c>
      <c r="C487" s="0" t="n">
        <v>95</v>
      </c>
      <c r="D487" s="0" t="n">
        <v>2001</v>
      </c>
      <c r="E487" s="0" t="n">
        <v>2023</v>
      </c>
      <c r="F487" s="1" t="s">
        <v>19</v>
      </c>
      <c r="G487" s="0" t="n">
        <v>120000000</v>
      </c>
      <c r="H487" s="0" t="n">
        <f aca="false">LN(G487/C487)</f>
        <v>14.0491254091458</v>
      </c>
      <c r="I487" s="0" t="n">
        <f aca="false">B487</f>
        <v>15</v>
      </c>
      <c r="J487" s="0" t="n">
        <f aca="false">E487-D487</f>
        <v>22</v>
      </c>
      <c r="K487" s="0" t="n">
        <f aca="false">C487</f>
        <v>95</v>
      </c>
      <c r="L487" s="0" t="n">
        <f aca="false">IF(F487="改装済み",1,0)</f>
        <v>0</v>
      </c>
      <c r="M487" s="0" t="n">
        <f aca="false">IF(A487="池尻大橋",1,0)</f>
        <v>0</v>
      </c>
      <c r="N487" s="0" t="n">
        <f aca="false">IF(A487="三軒茶屋",1,0)</f>
        <v>0</v>
      </c>
      <c r="O487" s="0" t="n">
        <f aca="false">IF(A487="駒沢大学",1,0)</f>
        <v>1</v>
      </c>
      <c r="P487" s="0" t="n">
        <f aca="false">IF(A487="桜新町",1,0)</f>
        <v>0</v>
      </c>
      <c r="Q487" s="0" t="n">
        <f aca="false">IF(A487="二子玉川",1,0)</f>
        <v>0</v>
      </c>
      <c r="R487" s="0" t="n">
        <f aca="false">IF(E487=2021,1,0)</f>
        <v>0</v>
      </c>
      <c r="S487" s="0" t="n">
        <f aca="false">IF(E487=2022,1,0)</f>
        <v>0</v>
      </c>
      <c r="T487" s="0" t="n">
        <f aca="false">IF(E487=2023,1,0)</f>
        <v>1</v>
      </c>
      <c r="U487" s="0" t="n">
        <f aca="false">IF(E487=2024,1,0)</f>
        <v>0</v>
      </c>
    </row>
    <row r="488" customFormat="false" ht="15" hidden="false" customHeight="false" outlineLevel="0" collapsed="false">
      <c r="A488" s="1" t="s">
        <v>11</v>
      </c>
      <c r="B488" s="0" t="n">
        <v>18</v>
      </c>
      <c r="C488" s="0" t="n">
        <v>90</v>
      </c>
      <c r="D488" s="0" t="n">
        <v>1996</v>
      </c>
      <c r="E488" s="0" t="n">
        <v>2023</v>
      </c>
      <c r="F488" s="1" t="s">
        <v>19</v>
      </c>
      <c r="G488" s="0" t="n">
        <v>110000000</v>
      </c>
      <c r="H488" s="0" t="n">
        <f aca="false">LN(G488/C488)</f>
        <v>14.0161812534264</v>
      </c>
      <c r="I488" s="0" t="n">
        <f aca="false">B488</f>
        <v>18</v>
      </c>
      <c r="J488" s="0" t="n">
        <f aca="false">E488-D488</f>
        <v>27</v>
      </c>
      <c r="K488" s="0" t="n">
        <f aca="false">C488</f>
        <v>90</v>
      </c>
      <c r="L488" s="0" t="n">
        <f aca="false">IF(F488="改装済み",1,0)</f>
        <v>0</v>
      </c>
      <c r="M488" s="0" t="n">
        <f aca="false">IF(A488="池尻大橋",1,0)</f>
        <v>0</v>
      </c>
      <c r="N488" s="0" t="n">
        <f aca="false">IF(A488="三軒茶屋",1,0)</f>
        <v>0</v>
      </c>
      <c r="O488" s="0" t="n">
        <f aca="false">IF(A488="駒沢大学",1,0)</f>
        <v>1</v>
      </c>
      <c r="P488" s="0" t="n">
        <f aca="false">IF(A488="桜新町",1,0)</f>
        <v>0</v>
      </c>
      <c r="Q488" s="0" t="n">
        <f aca="false">IF(A488="二子玉川",1,0)</f>
        <v>0</v>
      </c>
      <c r="R488" s="0" t="n">
        <f aca="false">IF(E488=2021,1,0)</f>
        <v>0</v>
      </c>
      <c r="S488" s="0" t="n">
        <f aca="false">IF(E488=2022,1,0)</f>
        <v>0</v>
      </c>
      <c r="T488" s="0" t="n">
        <f aca="false">IF(E488=2023,1,0)</f>
        <v>1</v>
      </c>
      <c r="U488" s="0" t="n">
        <f aca="false">IF(E488=2024,1,0)</f>
        <v>0</v>
      </c>
    </row>
    <row r="489" customFormat="false" ht="15" hidden="false" customHeight="false" outlineLevel="0" collapsed="false">
      <c r="A489" s="1" t="s">
        <v>11</v>
      </c>
      <c r="B489" s="0" t="n">
        <v>20</v>
      </c>
      <c r="C489" s="0" t="n">
        <v>60</v>
      </c>
      <c r="D489" s="0" t="n">
        <v>1999</v>
      </c>
      <c r="E489" s="0" t="n">
        <v>2023</v>
      </c>
      <c r="F489" s="1" t="s">
        <v>19</v>
      </c>
      <c r="G489" s="0" t="n">
        <v>65000000</v>
      </c>
      <c r="H489" s="0" t="n">
        <f aca="false">LN(G489/C489)</f>
        <v>13.8955532656378</v>
      </c>
      <c r="I489" s="0" t="n">
        <f aca="false">B489</f>
        <v>20</v>
      </c>
      <c r="J489" s="0" t="n">
        <f aca="false">E489-D489</f>
        <v>24</v>
      </c>
      <c r="K489" s="0" t="n">
        <f aca="false">C489</f>
        <v>60</v>
      </c>
      <c r="L489" s="0" t="n">
        <f aca="false">IF(F489="改装済み",1,0)</f>
        <v>0</v>
      </c>
      <c r="M489" s="0" t="n">
        <f aca="false">IF(A489="池尻大橋",1,0)</f>
        <v>0</v>
      </c>
      <c r="N489" s="0" t="n">
        <f aca="false">IF(A489="三軒茶屋",1,0)</f>
        <v>0</v>
      </c>
      <c r="O489" s="0" t="n">
        <f aca="false">IF(A489="駒沢大学",1,0)</f>
        <v>1</v>
      </c>
      <c r="P489" s="0" t="n">
        <f aca="false">IF(A489="桜新町",1,0)</f>
        <v>0</v>
      </c>
      <c r="Q489" s="0" t="n">
        <f aca="false">IF(A489="二子玉川",1,0)</f>
        <v>0</v>
      </c>
      <c r="R489" s="0" t="n">
        <f aca="false">IF(E489=2021,1,0)</f>
        <v>0</v>
      </c>
      <c r="S489" s="0" t="n">
        <f aca="false">IF(E489=2022,1,0)</f>
        <v>0</v>
      </c>
      <c r="T489" s="0" t="n">
        <f aca="false">IF(E489=2023,1,0)</f>
        <v>1</v>
      </c>
      <c r="U489" s="0" t="n">
        <f aca="false">IF(E489=2024,1,0)</f>
        <v>0</v>
      </c>
    </row>
    <row r="490" customFormat="false" ht="15" hidden="false" customHeight="false" outlineLevel="0" collapsed="false">
      <c r="A490" s="1" t="s">
        <v>11</v>
      </c>
      <c r="B490" s="0" t="n">
        <v>18</v>
      </c>
      <c r="C490" s="0" t="n">
        <v>70</v>
      </c>
      <c r="D490" s="0" t="n">
        <v>1996</v>
      </c>
      <c r="E490" s="0" t="n">
        <v>2021</v>
      </c>
      <c r="F490" s="1" t="s">
        <v>19</v>
      </c>
      <c r="G490" s="0" t="n">
        <v>59000000</v>
      </c>
      <c r="H490" s="0" t="n">
        <f aca="false">LN(G490/C490)</f>
        <v>13.6445527598206</v>
      </c>
      <c r="I490" s="0" t="n">
        <f aca="false">B490</f>
        <v>18</v>
      </c>
      <c r="J490" s="0" t="n">
        <f aca="false">E490-D490</f>
        <v>25</v>
      </c>
      <c r="K490" s="0" t="n">
        <f aca="false">C490</f>
        <v>70</v>
      </c>
      <c r="L490" s="0" t="n">
        <f aca="false">IF(F490="改装済み",1,0)</f>
        <v>0</v>
      </c>
      <c r="M490" s="0" t="n">
        <f aca="false">IF(A490="池尻大橋",1,0)</f>
        <v>0</v>
      </c>
      <c r="N490" s="0" t="n">
        <f aca="false">IF(A490="三軒茶屋",1,0)</f>
        <v>0</v>
      </c>
      <c r="O490" s="0" t="n">
        <f aca="false">IF(A490="駒沢大学",1,0)</f>
        <v>1</v>
      </c>
      <c r="P490" s="0" t="n">
        <f aca="false">IF(A490="桜新町",1,0)</f>
        <v>0</v>
      </c>
      <c r="Q490" s="0" t="n">
        <f aca="false">IF(A490="二子玉川",1,0)</f>
        <v>0</v>
      </c>
      <c r="R490" s="0" t="n">
        <f aca="false">IF(E490=2021,1,0)</f>
        <v>1</v>
      </c>
      <c r="S490" s="0" t="n">
        <f aca="false">IF(E490=2022,1,0)</f>
        <v>0</v>
      </c>
      <c r="T490" s="0" t="n">
        <f aca="false">IF(E490=2023,1,0)</f>
        <v>0</v>
      </c>
      <c r="U490" s="0" t="n">
        <f aca="false">IF(E490=2024,1,0)</f>
        <v>0</v>
      </c>
    </row>
    <row r="491" customFormat="false" ht="15" hidden="false" customHeight="false" outlineLevel="0" collapsed="false">
      <c r="A491" s="1" t="s">
        <v>11</v>
      </c>
      <c r="B491" s="0" t="n">
        <v>16</v>
      </c>
      <c r="C491" s="0" t="n">
        <v>70</v>
      </c>
      <c r="D491" s="0" t="n">
        <v>1995</v>
      </c>
      <c r="E491" s="0" t="n">
        <v>2021</v>
      </c>
      <c r="F491" s="1" t="s">
        <v>19</v>
      </c>
      <c r="G491" s="0" t="n">
        <v>49000000</v>
      </c>
      <c r="H491" s="0" t="n">
        <f aca="false">LN(G491/C491)</f>
        <v>13.4588356140255</v>
      </c>
      <c r="I491" s="0" t="n">
        <f aca="false">B491</f>
        <v>16</v>
      </c>
      <c r="J491" s="0" t="n">
        <f aca="false">E491-D491</f>
        <v>26</v>
      </c>
      <c r="K491" s="0" t="n">
        <f aca="false">C491</f>
        <v>70</v>
      </c>
      <c r="L491" s="0" t="n">
        <f aca="false">IF(F491="改装済み",1,0)</f>
        <v>0</v>
      </c>
      <c r="M491" s="0" t="n">
        <f aca="false">IF(A491="池尻大橋",1,0)</f>
        <v>0</v>
      </c>
      <c r="N491" s="0" t="n">
        <f aca="false">IF(A491="三軒茶屋",1,0)</f>
        <v>0</v>
      </c>
      <c r="O491" s="0" t="n">
        <f aca="false">IF(A491="駒沢大学",1,0)</f>
        <v>1</v>
      </c>
      <c r="P491" s="0" t="n">
        <f aca="false">IF(A491="桜新町",1,0)</f>
        <v>0</v>
      </c>
      <c r="Q491" s="0" t="n">
        <f aca="false">IF(A491="二子玉川",1,0)</f>
        <v>0</v>
      </c>
      <c r="R491" s="0" t="n">
        <f aca="false">IF(E491=2021,1,0)</f>
        <v>1</v>
      </c>
      <c r="S491" s="0" t="n">
        <f aca="false">IF(E491=2022,1,0)</f>
        <v>0</v>
      </c>
      <c r="T491" s="0" t="n">
        <f aca="false">IF(E491=2023,1,0)</f>
        <v>0</v>
      </c>
      <c r="U491" s="0" t="n">
        <f aca="false">IF(E491=2024,1,0)</f>
        <v>0</v>
      </c>
    </row>
    <row r="492" customFormat="false" ht="15" hidden="false" customHeight="false" outlineLevel="0" collapsed="false">
      <c r="A492" s="1" t="s">
        <v>11</v>
      </c>
      <c r="B492" s="0" t="n">
        <v>18</v>
      </c>
      <c r="C492" s="0" t="n">
        <v>75</v>
      </c>
      <c r="D492" s="0" t="n">
        <v>1996</v>
      </c>
      <c r="E492" s="0" t="n">
        <v>2021</v>
      </c>
      <c r="F492" s="1" t="s">
        <v>18</v>
      </c>
      <c r="G492" s="0" t="n">
        <v>66000000</v>
      </c>
      <c r="H492" s="0" t="n">
        <f aca="false">LN(G492/C492)</f>
        <v>13.6876771864544</v>
      </c>
      <c r="I492" s="0" t="n">
        <f aca="false">B492</f>
        <v>18</v>
      </c>
      <c r="J492" s="0" t="n">
        <f aca="false">E492-D492</f>
        <v>25</v>
      </c>
      <c r="K492" s="0" t="n">
        <f aca="false">C492</f>
        <v>75</v>
      </c>
      <c r="L492" s="0" t="n">
        <f aca="false">IF(F492="改装済み",1,0)</f>
        <v>1</v>
      </c>
      <c r="M492" s="0" t="n">
        <f aca="false">IF(A492="池尻大橋",1,0)</f>
        <v>0</v>
      </c>
      <c r="N492" s="0" t="n">
        <f aca="false">IF(A492="三軒茶屋",1,0)</f>
        <v>0</v>
      </c>
      <c r="O492" s="0" t="n">
        <f aca="false">IF(A492="駒沢大学",1,0)</f>
        <v>1</v>
      </c>
      <c r="P492" s="0" t="n">
        <f aca="false">IF(A492="桜新町",1,0)</f>
        <v>0</v>
      </c>
      <c r="Q492" s="0" t="n">
        <f aca="false">IF(A492="二子玉川",1,0)</f>
        <v>0</v>
      </c>
      <c r="R492" s="0" t="n">
        <f aca="false">IF(E492=2021,1,0)</f>
        <v>1</v>
      </c>
      <c r="S492" s="0" t="n">
        <f aca="false">IF(E492=2022,1,0)</f>
        <v>0</v>
      </c>
      <c r="T492" s="0" t="n">
        <f aca="false">IF(E492=2023,1,0)</f>
        <v>0</v>
      </c>
      <c r="U492" s="0" t="n">
        <f aca="false">IF(E492=2024,1,0)</f>
        <v>0</v>
      </c>
    </row>
    <row r="493" customFormat="false" ht="15" hidden="false" customHeight="false" outlineLevel="0" collapsed="false">
      <c r="A493" s="1" t="s">
        <v>12</v>
      </c>
      <c r="B493" s="0" t="n">
        <v>18</v>
      </c>
      <c r="C493" s="0" t="n">
        <v>100</v>
      </c>
      <c r="D493" s="0" t="n">
        <v>1998</v>
      </c>
      <c r="E493" s="0" t="n">
        <v>2025</v>
      </c>
      <c r="F493" s="1" t="s">
        <v>19</v>
      </c>
      <c r="G493" s="0" t="n">
        <v>80000000</v>
      </c>
      <c r="H493" s="0" t="n">
        <f aca="false">LN(G493/C493)</f>
        <v>13.5923670066501</v>
      </c>
      <c r="I493" s="0" t="n">
        <f aca="false">B493</f>
        <v>18</v>
      </c>
      <c r="J493" s="0" t="n">
        <f aca="false">E493-D493</f>
        <v>27</v>
      </c>
      <c r="K493" s="0" t="n">
        <f aca="false">C493</f>
        <v>100</v>
      </c>
      <c r="L493" s="0" t="n">
        <f aca="false">IF(F493="改装済み",1,0)</f>
        <v>0</v>
      </c>
      <c r="M493" s="0" t="n">
        <f aca="false">IF(A493="池尻大橋",1,0)</f>
        <v>0</v>
      </c>
      <c r="N493" s="0" t="n">
        <f aca="false">IF(A493="三軒茶屋",1,0)</f>
        <v>0</v>
      </c>
      <c r="O493" s="0" t="n">
        <f aca="false">IF(A493="駒沢大学",1,0)</f>
        <v>0</v>
      </c>
      <c r="P493" s="0" t="n">
        <f aca="false">IF(A493="桜新町",1,0)</f>
        <v>1</v>
      </c>
      <c r="Q493" s="0" t="n">
        <f aca="false">IF(A493="二子玉川",1,0)</f>
        <v>0</v>
      </c>
      <c r="R493" s="0" t="n">
        <f aca="false">IF(E493=2021,1,0)</f>
        <v>0</v>
      </c>
      <c r="S493" s="0" t="n">
        <f aca="false">IF(E493=2022,1,0)</f>
        <v>0</v>
      </c>
      <c r="T493" s="0" t="n">
        <f aca="false">IF(E493=2023,1,0)</f>
        <v>0</v>
      </c>
      <c r="U493" s="0" t="n">
        <f aca="false">IF(E493=2024,1,0)</f>
        <v>0</v>
      </c>
    </row>
    <row r="494" customFormat="false" ht="15" hidden="false" customHeight="false" outlineLevel="0" collapsed="false">
      <c r="A494" s="1" t="s">
        <v>12</v>
      </c>
      <c r="B494" s="0" t="n">
        <v>18</v>
      </c>
      <c r="C494" s="0" t="n">
        <v>50</v>
      </c>
      <c r="D494" s="0" t="n">
        <v>1995</v>
      </c>
      <c r="E494" s="0" t="n">
        <v>2025</v>
      </c>
      <c r="F494" s="1" t="s">
        <v>19</v>
      </c>
      <c r="G494" s="0" t="n">
        <v>34000000</v>
      </c>
      <c r="H494" s="0" t="n">
        <f aca="false">LN(G494/C494)</f>
        <v>13.4298480771523</v>
      </c>
      <c r="I494" s="0" t="n">
        <f aca="false">B494</f>
        <v>18</v>
      </c>
      <c r="J494" s="0" t="n">
        <f aca="false">E494-D494</f>
        <v>30</v>
      </c>
      <c r="K494" s="0" t="n">
        <f aca="false">C494</f>
        <v>50</v>
      </c>
      <c r="L494" s="0" t="n">
        <f aca="false">IF(F494="改装済み",1,0)</f>
        <v>0</v>
      </c>
      <c r="M494" s="0" t="n">
        <f aca="false">IF(A494="池尻大橋",1,0)</f>
        <v>0</v>
      </c>
      <c r="N494" s="0" t="n">
        <f aca="false">IF(A494="三軒茶屋",1,0)</f>
        <v>0</v>
      </c>
      <c r="O494" s="0" t="n">
        <f aca="false">IF(A494="駒沢大学",1,0)</f>
        <v>0</v>
      </c>
      <c r="P494" s="0" t="n">
        <f aca="false">IF(A494="桜新町",1,0)</f>
        <v>1</v>
      </c>
      <c r="Q494" s="0" t="n">
        <f aca="false">IF(A494="二子玉川",1,0)</f>
        <v>0</v>
      </c>
      <c r="R494" s="0" t="n">
        <f aca="false">IF(E494=2021,1,0)</f>
        <v>0</v>
      </c>
      <c r="S494" s="0" t="n">
        <f aca="false">IF(E494=2022,1,0)</f>
        <v>0</v>
      </c>
      <c r="T494" s="0" t="n">
        <f aca="false">IF(E494=2023,1,0)</f>
        <v>0</v>
      </c>
      <c r="U494" s="0" t="n">
        <f aca="false">IF(E494=2024,1,0)</f>
        <v>0</v>
      </c>
    </row>
    <row r="495" customFormat="false" ht="15" hidden="false" customHeight="false" outlineLevel="0" collapsed="false">
      <c r="A495" s="1" t="s">
        <v>12</v>
      </c>
      <c r="B495" s="0" t="n">
        <v>18</v>
      </c>
      <c r="C495" s="0" t="n">
        <v>95</v>
      </c>
      <c r="D495" s="0" t="n">
        <v>1998</v>
      </c>
      <c r="E495" s="0" t="n">
        <v>2025</v>
      </c>
      <c r="F495" s="1" t="s">
        <v>19</v>
      </c>
      <c r="G495" s="0" t="n">
        <v>75000000</v>
      </c>
      <c r="H495" s="0" t="n">
        <f aca="false">LN(G495/C495)</f>
        <v>13.5791217799</v>
      </c>
      <c r="I495" s="0" t="n">
        <f aca="false">B495</f>
        <v>18</v>
      </c>
      <c r="J495" s="0" t="n">
        <f aca="false">E495-D495</f>
        <v>27</v>
      </c>
      <c r="K495" s="0" t="n">
        <f aca="false">C495</f>
        <v>95</v>
      </c>
      <c r="L495" s="0" t="n">
        <f aca="false">IF(F495="改装済み",1,0)</f>
        <v>0</v>
      </c>
      <c r="M495" s="0" t="n">
        <f aca="false">IF(A495="池尻大橋",1,0)</f>
        <v>0</v>
      </c>
      <c r="N495" s="0" t="n">
        <f aca="false">IF(A495="三軒茶屋",1,0)</f>
        <v>0</v>
      </c>
      <c r="O495" s="0" t="n">
        <f aca="false">IF(A495="駒沢大学",1,0)</f>
        <v>0</v>
      </c>
      <c r="P495" s="0" t="n">
        <f aca="false">IF(A495="桜新町",1,0)</f>
        <v>1</v>
      </c>
      <c r="Q495" s="0" t="n">
        <f aca="false">IF(A495="二子玉川",1,0)</f>
        <v>0</v>
      </c>
      <c r="R495" s="0" t="n">
        <f aca="false">IF(E495=2021,1,0)</f>
        <v>0</v>
      </c>
      <c r="S495" s="0" t="n">
        <f aca="false">IF(E495=2022,1,0)</f>
        <v>0</v>
      </c>
      <c r="T495" s="0" t="n">
        <f aca="false">IF(E495=2023,1,0)</f>
        <v>0</v>
      </c>
      <c r="U495" s="0" t="n">
        <f aca="false">IF(E495=2024,1,0)</f>
        <v>0</v>
      </c>
    </row>
    <row r="496" customFormat="false" ht="15" hidden="false" customHeight="false" outlineLevel="0" collapsed="false">
      <c r="A496" s="1" t="s">
        <v>12</v>
      </c>
      <c r="B496" s="0" t="n">
        <v>17</v>
      </c>
      <c r="C496" s="0" t="n">
        <v>115</v>
      </c>
      <c r="D496" s="0" t="n">
        <v>1989</v>
      </c>
      <c r="E496" s="0" t="n">
        <v>2025</v>
      </c>
      <c r="F496" s="1" t="s">
        <v>19</v>
      </c>
      <c r="G496" s="0" t="n">
        <v>140000000</v>
      </c>
      <c r="H496" s="0" t="n">
        <f aca="false">LN(G496/C496)</f>
        <v>14.0122208522103</v>
      </c>
      <c r="I496" s="0" t="n">
        <f aca="false">B496</f>
        <v>17</v>
      </c>
      <c r="J496" s="0" t="n">
        <f aca="false">E496-D496</f>
        <v>36</v>
      </c>
      <c r="K496" s="0" t="n">
        <f aca="false">C496</f>
        <v>115</v>
      </c>
      <c r="L496" s="0" t="n">
        <f aca="false">IF(F496="改装済み",1,0)</f>
        <v>0</v>
      </c>
      <c r="M496" s="0" t="n">
        <f aca="false">IF(A496="池尻大橋",1,0)</f>
        <v>0</v>
      </c>
      <c r="N496" s="0" t="n">
        <f aca="false">IF(A496="三軒茶屋",1,0)</f>
        <v>0</v>
      </c>
      <c r="O496" s="0" t="n">
        <f aca="false">IF(A496="駒沢大学",1,0)</f>
        <v>0</v>
      </c>
      <c r="P496" s="0" t="n">
        <f aca="false">IF(A496="桜新町",1,0)</f>
        <v>1</v>
      </c>
      <c r="Q496" s="0" t="n">
        <f aca="false">IF(A496="二子玉川",1,0)</f>
        <v>0</v>
      </c>
      <c r="R496" s="0" t="n">
        <f aca="false">IF(E496=2021,1,0)</f>
        <v>0</v>
      </c>
      <c r="S496" s="0" t="n">
        <f aca="false">IF(E496=2022,1,0)</f>
        <v>0</v>
      </c>
      <c r="T496" s="0" t="n">
        <f aca="false">IF(E496=2023,1,0)</f>
        <v>0</v>
      </c>
      <c r="U496" s="0" t="n">
        <f aca="false">IF(E496=2024,1,0)</f>
        <v>0</v>
      </c>
    </row>
    <row r="497" customFormat="false" ht="15" hidden="false" customHeight="false" outlineLevel="0" collapsed="false">
      <c r="A497" s="1" t="s">
        <v>12</v>
      </c>
      <c r="B497" s="0" t="n">
        <v>9</v>
      </c>
      <c r="C497" s="0" t="n">
        <v>50</v>
      </c>
      <c r="D497" s="0" t="n">
        <v>2003</v>
      </c>
      <c r="E497" s="0" t="n">
        <v>2024</v>
      </c>
      <c r="F497" s="1" t="s">
        <v>19</v>
      </c>
      <c r="G497" s="0" t="n">
        <v>45000000</v>
      </c>
      <c r="H497" s="0" t="n">
        <f aca="false">LN(G497/C497)</f>
        <v>13.7101500423064</v>
      </c>
      <c r="I497" s="0" t="n">
        <f aca="false">B497</f>
        <v>9</v>
      </c>
      <c r="J497" s="0" t="n">
        <f aca="false">E497-D497</f>
        <v>21</v>
      </c>
      <c r="K497" s="0" t="n">
        <f aca="false">C497</f>
        <v>50</v>
      </c>
      <c r="L497" s="0" t="n">
        <f aca="false">IF(F497="改装済み",1,0)</f>
        <v>0</v>
      </c>
      <c r="M497" s="0" t="n">
        <f aca="false">IF(A497="池尻大橋",1,0)</f>
        <v>0</v>
      </c>
      <c r="N497" s="0" t="n">
        <f aca="false">IF(A497="三軒茶屋",1,0)</f>
        <v>0</v>
      </c>
      <c r="O497" s="0" t="n">
        <f aca="false">IF(A497="駒沢大学",1,0)</f>
        <v>0</v>
      </c>
      <c r="P497" s="0" t="n">
        <f aca="false">IF(A497="桜新町",1,0)</f>
        <v>1</v>
      </c>
      <c r="Q497" s="0" t="n">
        <f aca="false">IF(A497="二子玉川",1,0)</f>
        <v>0</v>
      </c>
      <c r="R497" s="0" t="n">
        <f aca="false">IF(E497=2021,1,0)</f>
        <v>0</v>
      </c>
      <c r="S497" s="0" t="n">
        <f aca="false">IF(E497=2022,1,0)</f>
        <v>0</v>
      </c>
      <c r="T497" s="0" t="n">
        <f aca="false">IF(E497=2023,1,0)</f>
        <v>0</v>
      </c>
      <c r="U497" s="0" t="n">
        <f aca="false">IF(E497=2024,1,0)</f>
        <v>1</v>
      </c>
    </row>
    <row r="498" customFormat="false" ht="15" hidden="false" customHeight="false" outlineLevel="0" collapsed="false">
      <c r="A498" s="1" t="s">
        <v>12</v>
      </c>
      <c r="B498" s="0" t="n">
        <v>8</v>
      </c>
      <c r="C498" s="0" t="n">
        <v>65</v>
      </c>
      <c r="D498" s="0" t="n">
        <v>2002</v>
      </c>
      <c r="E498" s="0" t="n">
        <v>2023</v>
      </c>
      <c r="F498" s="1" t="s">
        <v>18</v>
      </c>
      <c r="G498" s="0" t="n">
        <v>87000000</v>
      </c>
      <c r="H498" s="0" t="n">
        <f aca="false">LN(G498/C498)</f>
        <v>14.1070314067232</v>
      </c>
      <c r="I498" s="0" t="n">
        <f aca="false">B498</f>
        <v>8</v>
      </c>
      <c r="J498" s="0" t="n">
        <f aca="false">E498-D498</f>
        <v>21</v>
      </c>
      <c r="K498" s="0" t="n">
        <f aca="false">C498</f>
        <v>65</v>
      </c>
      <c r="L498" s="0" t="n">
        <f aca="false">IF(F498="改装済み",1,0)</f>
        <v>1</v>
      </c>
      <c r="M498" s="0" t="n">
        <f aca="false">IF(A498="池尻大橋",1,0)</f>
        <v>0</v>
      </c>
      <c r="N498" s="0" t="n">
        <f aca="false">IF(A498="三軒茶屋",1,0)</f>
        <v>0</v>
      </c>
      <c r="O498" s="0" t="n">
        <f aca="false">IF(A498="駒沢大学",1,0)</f>
        <v>0</v>
      </c>
      <c r="P498" s="0" t="n">
        <f aca="false">IF(A498="桜新町",1,0)</f>
        <v>1</v>
      </c>
      <c r="Q498" s="0" t="n">
        <f aca="false">IF(A498="二子玉川",1,0)</f>
        <v>0</v>
      </c>
      <c r="R498" s="0" t="n">
        <f aca="false">IF(E498=2021,1,0)</f>
        <v>0</v>
      </c>
      <c r="S498" s="0" t="n">
        <f aca="false">IF(E498=2022,1,0)</f>
        <v>0</v>
      </c>
      <c r="T498" s="0" t="n">
        <f aca="false">IF(E498=2023,1,0)</f>
        <v>1</v>
      </c>
      <c r="U498" s="0" t="n">
        <f aca="false">IF(E498=2024,1,0)</f>
        <v>0</v>
      </c>
    </row>
    <row r="499" customFormat="false" ht="15" hidden="false" customHeight="false" outlineLevel="0" collapsed="false">
      <c r="A499" s="1" t="s">
        <v>12</v>
      </c>
      <c r="B499" s="0" t="n">
        <v>9</v>
      </c>
      <c r="C499" s="0" t="n">
        <v>50</v>
      </c>
      <c r="D499" s="0" t="n">
        <v>2003</v>
      </c>
      <c r="E499" s="0" t="n">
        <v>2023</v>
      </c>
      <c r="F499" s="1" t="s">
        <v>18</v>
      </c>
      <c r="G499" s="0" t="n">
        <v>69000000</v>
      </c>
      <c r="H499" s="0" t="n">
        <f aca="false">LN(G499/C499)</f>
        <v>14.1375940571334</v>
      </c>
      <c r="I499" s="0" t="n">
        <f aca="false">B499</f>
        <v>9</v>
      </c>
      <c r="J499" s="0" t="n">
        <f aca="false">E499-D499</f>
        <v>20</v>
      </c>
      <c r="K499" s="0" t="n">
        <f aca="false">C499</f>
        <v>50</v>
      </c>
      <c r="L499" s="0" t="n">
        <f aca="false">IF(F499="改装済み",1,0)</f>
        <v>1</v>
      </c>
      <c r="M499" s="0" t="n">
        <f aca="false">IF(A499="池尻大橋",1,0)</f>
        <v>0</v>
      </c>
      <c r="N499" s="0" t="n">
        <f aca="false">IF(A499="三軒茶屋",1,0)</f>
        <v>0</v>
      </c>
      <c r="O499" s="0" t="n">
        <f aca="false">IF(A499="駒沢大学",1,0)</f>
        <v>0</v>
      </c>
      <c r="P499" s="0" t="n">
        <f aca="false">IF(A499="桜新町",1,0)</f>
        <v>1</v>
      </c>
      <c r="Q499" s="0" t="n">
        <f aca="false">IF(A499="二子玉川",1,0)</f>
        <v>0</v>
      </c>
      <c r="R499" s="0" t="n">
        <f aca="false">IF(E499=2021,1,0)</f>
        <v>0</v>
      </c>
      <c r="S499" s="0" t="n">
        <f aca="false">IF(E499=2022,1,0)</f>
        <v>0</v>
      </c>
      <c r="T499" s="0" t="n">
        <f aca="false">IF(E499=2023,1,0)</f>
        <v>1</v>
      </c>
      <c r="U499" s="0" t="n">
        <f aca="false">IF(E499=2024,1,0)</f>
        <v>0</v>
      </c>
    </row>
    <row r="500" customFormat="false" ht="15" hidden="false" customHeight="false" outlineLevel="0" collapsed="false">
      <c r="A500" s="1" t="s">
        <v>12</v>
      </c>
      <c r="B500" s="0" t="n">
        <v>19</v>
      </c>
      <c r="C500" s="0" t="n">
        <v>75</v>
      </c>
      <c r="D500" s="0" t="n">
        <v>1999</v>
      </c>
      <c r="E500" s="0" t="n">
        <v>2022</v>
      </c>
      <c r="F500" s="1" t="s">
        <v>18</v>
      </c>
      <c r="G500" s="0" t="n">
        <v>73000000</v>
      </c>
      <c r="H500" s="0" t="n">
        <f aca="false">LN(G500/C500)</f>
        <v>13.7884818855764</v>
      </c>
      <c r="I500" s="0" t="n">
        <f aca="false">B500</f>
        <v>19</v>
      </c>
      <c r="J500" s="0" t="n">
        <f aca="false">E500-D500</f>
        <v>23</v>
      </c>
      <c r="K500" s="0" t="n">
        <f aca="false">C500</f>
        <v>75</v>
      </c>
      <c r="L500" s="0" t="n">
        <f aca="false">IF(F500="改装済み",1,0)</f>
        <v>1</v>
      </c>
      <c r="M500" s="0" t="n">
        <f aca="false">IF(A500="池尻大橋",1,0)</f>
        <v>0</v>
      </c>
      <c r="N500" s="0" t="n">
        <f aca="false">IF(A500="三軒茶屋",1,0)</f>
        <v>0</v>
      </c>
      <c r="O500" s="0" t="n">
        <f aca="false">IF(A500="駒沢大学",1,0)</f>
        <v>0</v>
      </c>
      <c r="P500" s="0" t="n">
        <f aca="false">IF(A500="桜新町",1,0)</f>
        <v>1</v>
      </c>
      <c r="Q500" s="0" t="n">
        <f aca="false">IF(A500="二子玉川",1,0)</f>
        <v>0</v>
      </c>
      <c r="R500" s="0" t="n">
        <f aca="false">IF(E500=2021,1,0)</f>
        <v>0</v>
      </c>
      <c r="S500" s="0" t="n">
        <f aca="false">IF(E500=2022,1,0)</f>
        <v>1</v>
      </c>
      <c r="T500" s="0" t="n">
        <f aca="false">IF(E500=2023,1,0)</f>
        <v>0</v>
      </c>
      <c r="U500" s="0" t="n">
        <f aca="false">IF(E500=2024,1,0)</f>
        <v>0</v>
      </c>
    </row>
    <row r="501" customFormat="false" ht="15" hidden="false" customHeight="false" outlineLevel="0" collapsed="false">
      <c r="A501" s="1" t="s">
        <v>12</v>
      </c>
      <c r="B501" s="0" t="n">
        <v>9</v>
      </c>
      <c r="C501" s="0" t="n">
        <v>50</v>
      </c>
      <c r="D501" s="0" t="n">
        <v>2003</v>
      </c>
      <c r="E501" s="0" t="n">
        <v>2022</v>
      </c>
      <c r="F501" s="1" t="s">
        <v>19</v>
      </c>
      <c r="G501" s="0" t="n">
        <v>66000000</v>
      </c>
      <c r="H501" s="0" t="n">
        <f aca="false">LN(G501/C501)</f>
        <v>14.0931422945626</v>
      </c>
      <c r="I501" s="0" t="n">
        <f aca="false">B501</f>
        <v>9</v>
      </c>
      <c r="J501" s="0" t="n">
        <f aca="false">E501-D501</f>
        <v>19</v>
      </c>
      <c r="K501" s="0" t="n">
        <f aca="false">C501</f>
        <v>50</v>
      </c>
      <c r="L501" s="0" t="n">
        <f aca="false">IF(F501="改装済み",1,0)</f>
        <v>0</v>
      </c>
      <c r="M501" s="0" t="n">
        <f aca="false">IF(A501="池尻大橋",1,0)</f>
        <v>0</v>
      </c>
      <c r="N501" s="0" t="n">
        <f aca="false">IF(A501="三軒茶屋",1,0)</f>
        <v>0</v>
      </c>
      <c r="O501" s="0" t="n">
        <f aca="false">IF(A501="駒沢大学",1,0)</f>
        <v>0</v>
      </c>
      <c r="P501" s="0" t="n">
        <f aca="false">IF(A501="桜新町",1,0)</f>
        <v>1</v>
      </c>
      <c r="Q501" s="0" t="n">
        <f aca="false">IF(A501="二子玉川",1,0)</f>
        <v>0</v>
      </c>
      <c r="R501" s="0" t="n">
        <f aca="false">IF(E501=2021,1,0)</f>
        <v>0</v>
      </c>
      <c r="S501" s="0" t="n">
        <f aca="false">IF(E501=2022,1,0)</f>
        <v>1</v>
      </c>
      <c r="T501" s="0" t="n">
        <f aca="false">IF(E501=2023,1,0)</f>
        <v>0</v>
      </c>
      <c r="U501" s="0" t="n">
        <f aca="false">IF(E501=2024,1,0)</f>
        <v>0</v>
      </c>
    </row>
    <row r="502" customFormat="false" ht="15" hidden="false" customHeight="false" outlineLevel="0" collapsed="false">
      <c r="A502" s="1" t="s">
        <v>9</v>
      </c>
      <c r="B502" s="0" t="n">
        <v>10</v>
      </c>
      <c r="C502" s="0" t="n">
        <v>55</v>
      </c>
      <c r="D502" s="0" t="n">
        <v>1997</v>
      </c>
      <c r="E502" s="0" t="n">
        <v>2024</v>
      </c>
      <c r="F502" s="1" t="s">
        <v>19</v>
      </c>
      <c r="G502" s="0" t="n">
        <v>56000000</v>
      </c>
      <c r="H502" s="0" t="n">
        <f aca="false">LN(G502/C502)</f>
        <v>13.833529063467</v>
      </c>
      <c r="I502" s="0" t="n">
        <f aca="false">B502</f>
        <v>10</v>
      </c>
      <c r="J502" s="0" t="n">
        <f aca="false">E502-D502</f>
        <v>27</v>
      </c>
      <c r="K502" s="0" t="n">
        <f aca="false">C502</f>
        <v>55</v>
      </c>
      <c r="L502" s="0" t="n">
        <f aca="false">IF(F502="改装済み",1,0)</f>
        <v>0</v>
      </c>
      <c r="M502" s="0" t="n">
        <f aca="false">IF(A502="池尻大橋",1,0)</f>
        <v>1</v>
      </c>
      <c r="N502" s="0" t="n">
        <f aca="false">IF(A502="三軒茶屋",1,0)</f>
        <v>0</v>
      </c>
      <c r="O502" s="0" t="n">
        <f aca="false">IF(A502="駒沢大学",1,0)</f>
        <v>0</v>
      </c>
      <c r="P502" s="0" t="n">
        <f aca="false">IF(A502="桜新町",1,0)</f>
        <v>0</v>
      </c>
      <c r="Q502" s="0" t="n">
        <f aca="false">IF(A502="二子玉川",1,0)</f>
        <v>0</v>
      </c>
      <c r="R502" s="0" t="n">
        <f aca="false">IF(E502=2021,1,0)</f>
        <v>0</v>
      </c>
      <c r="S502" s="0" t="n">
        <f aca="false">IF(E502=2022,1,0)</f>
        <v>0</v>
      </c>
      <c r="T502" s="0" t="n">
        <f aca="false">IF(E502=2023,1,0)</f>
        <v>0</v>
      </c>
      <c r="U502" s="0" t="n">
        <f aca="false">IF(E502=2024,1,0)</f>
        <v>1</v>
      </c>
    </row>
    <row r="503" customFormat="false" ht="15" hidden="false" customHeight="false" outlineLevel="0" collapsed="false">
      <c r="A503" s="1" t="s">
        <v>9</v>
      </c>
      <c r="B503" s="0" t="n">
        <v>13</v>
      </c>
      <c r="C503" s="0" t="n">
        <v>60</v>
      </c>
      <c r="D503" s="0" t="n">
        <v>2018</v>
      </c>
      <c r="E503" s="0" t="n">
        <v>2023</v>
      </c>
      <c r="F503" s="1" t="s">
        <v>19</v>
      </c>
      <c r="G503" s="0" t="n">
        <v>83000000</v>
      </c>
      <c r="H503" s="0" t="n">
        <f aca="false">LN(G503/C503)</f>
        <v>14.1400066035388</v>
      </c>
      <c r="I503" s="0" t="n">
        <f aca="false">B503</f>
        <v>13</v>
      </c>
      <c r="J503" s="0" t="n">
        <f aca="false">E503-D503</f>
        <v>5</v>
      </c>
      <c r="K503" s="0" t="n">
        <f aca="false">C503</f>
        <v>60</v>
      </c>
      <c r="L503" s="0" t="n">
        <f aca="false">IF(F503="改装済み",1,0)</f>
        <v>0</v>
      </c>
      <c r="M503" s="0" t="n">
        <f aca="false">IF(A503="池尻大橋",1,0)</f>
        <v>1</v>
      </c>
      <c r="N503" s="0" t="n">
        <f aca="false">IF(A503="三軒茶屋",1,0)</f>
        <v>0</v>
      </c>
      <c r="O503" s="0" t="n">
        <f aca="false">IF(A503="駒沢大学",1,0)</f>
        <v>0</v>
      </c>
      <c r="P503" s="0" t="n">
        <f aca="false">IF(A503="桜新町",1,0)</f>
        <v>0</v>
      </c>
      <c r="Q503" s="0" t="n">
        <f aca="false">IF(A503="二子玉川",1,0)</f>
        <v>0</v>
      </c>
      <c r="R503" s="0" t="n">
        <f aca="false">IF(E503=2021,1,0)</f>
        <v>0</v>
      </c>
      <c r="S503" s="0" t="n">
        <f aca="false">IF(E503=2022,1,0)</f>
        <v>0</v>
      </c>
      <c r="T503" s="0" t="n">
        <f aca="false">IF(E503=2023,1,0)</f>
        <v>1</v>
      </c>
      <c r="U503" s="0" t="n">
        <f aca="false">IF(E503=2024,1,0)</f>
        <v>0</v>
      </c>
    </row>
    <row r="504" customFormat="false" ht="15" hidden="false" customHeight="false" outlineLevel="0" collapsed="false">
      <c r="A504" s="1" t="s">
        <v>9</v>
      </c>
      <c r="B504" s="0" t="n">
        <v>9</v>
      </c>
      <c r="C504" s="0" t="n">
        <v>55</v>
      </c>
      <c r="D504" s="0" t="n">
        <v>2010</v>
      </c>
      <c r="E504" s="0" t="n">
        <v>2023</v>
      </c>
      <c r="F504" s="1" t="s">
        <v>19</v>
      </c>
      <c r="G504" s="0" t="n">
        <v>75000000</v>
      </c>
      <c r="H504" s="0" t="n">
        <f aca="false">LN(G504/C504)</f>
        <v>14.1256654862681</v>
      </c>
      <c r="I504" s="0" t="n">
        <f aca="false">B504</f>
        <v>9</v>
      </c>
      <c r="J504" s="0" t="n">
        <f aca="false">E504-D504</f>
        <v>13</v>
      </c>
      <c r="K504" s="0" t="n">
        <f aca="false">C504</f>
        <v>55</v>
      </c>
      <c r="L504" s="0" t="n">
        <f aca="false">IF(F504="改装済み",1,0)</f>
        <v>0</v>
      </c>
      <c r="M504" s="0" t="n">
        <f aca="false">IF(A504="池尻大橋",1,0)</f>
        <v>1</v>
      </c>
      <c r="N504" s="0" t="n">
        <f aca="false">IF(A504="三軒茶屋",1,0)</f>
        <v>0</v>
      </c>
      <c r="O504" s="0" t="n">
        <f aca="false">IF(A504="駒沢大学",1,0)</f>
        <v>0</v>
      </c>
      <c r="P504" s="0" t="n">
        <f aca="false">IF(A504="桜新町",1,0)</f>
        <v>0</v>
      </c>
      <c r="Q504" s="0" t="n">
        <f aca="false">IF(A504="二子玉川",1,0)</f>
        <v>0</v>
      </c>
      <c r="R504" s="0" t="n">
        <f aca="false">IF(E504=2021,1,0)</f>
        <v>0</v>
      </c>
      <c r="S504" s="0" t="n">
        <f aca="false">IF(E504=2022,1,0)</f>
        <v>0</v>
      </c>
      <c r="T504" s="0" t="n">
        <f aca="false">IF(E504=2023,1,0)</f>
        <v>1</v>
      </c>
      <c r="U504" s="0" t="n">
        <f aca="false">IF(E504=2024,1,0)</f>
        <v>0</v>
      </c>
    </row>
    <row r="505" customFormat="false" ht="15" hidden="false" customHeight="false" outlineLevel="0" collapsed="false">
      <c r="A505" s="1" t="s">
        <v>9</v>
      </c>
      <c r="B505" s="0" t="n">
        <v>13</v>
      </c>
      <c r="C505" s="0" t="n">
        <v>60</v>
      </c>
      <c r="D505" s="0" t="n">
        <v>2018</v>
      </c>
      <c r="E505" s="0" t="n">
        <v>2021</v>
      </c>
      <c r="F505" s="1" t="s">
        <v>19</v>
      </c>
      <c r="G505" s="0" t="n">
        <v>78000000</v>
      </c>
      <c r="H505" s="0" t="n">
        <f aca="false">LN(G505/C505)</f>
        <v>14.0778748224318</v>
      </c>
      <c r="I505" s="0" t="n">
        <f aca="false">B505</f>
        <v>13</v>
      </c>
      <c r="J505" s="0" t="n">
        <f aca="false">E505-D505</f>
        <v>3</v>
      </c>
      <c r="K505" s="0" t="n">
        <f aca="false">C505</f>
        <v>60</v>
      </c>
      <c r="L505" s="0" t="n">
        <f aca="false">IF(F505="改装済み",1,0)</f>
        <v>0</v>
      </c>
      <c r="M505" s="0" t="n">
        <f aca="false">IF(A505="池尻大橋",1,0)</f>
        <v>1</v>
      </c>
      <c r="N505" s="0" t="n">
        <f aca="false">IF(A505="三軒茶屋",1,0)</f>
        <v>0</v>
      </c>
      <c r="O505" s="0" t="n">
        <f aca="false">IF(A505="駒沢大学",1,0)</f>
        <v>0</v>
      </c>
      <c r="P505" s="0" t="n">
        <f aca="false">IF(A505="桜新町",1,0)</f>
        <v>0</v>
      </c>
      <c r="Q505" s="0" t="n">
        <f aca="false">IF(A505="二子玉川",1,0)</f>
        <v>0</v>
      </c>
      <c r="R505" s="0" t="n">
        <f aca="false">IF(E505=2021,1,0)</f>
        <v>1</v>
      </c>
      <c r="S505" s="0" t="n">
        <f aca="false">IF(E505=2022,1,0)</f>
        <v>0</v>
      </c>
      <c r="T505" s="0" t="n">
        <f aca="false">IF(E505=2023,1,0)</f>
        <v>0</v>
      </c>
      <c r="U505" s="0" t="n">
        <f aca="false">IF(E505=2024,1,0)</f>
        <v>0</v>
      </c>
    </row>
    <row r="506" customFormat="false" ht="15" hidden="false" customHeight="false" outlineLevel="0" collapsed="false">
      <c r="A506" s="1" t="s">
        <v>10</v>
      </c>
      <c r="B506" s="0" t="n">
        <v>7</v>
      </c>
      <c r="C506" s="0" t="n">
        <v>50</v>
      </c>
      <c r="D506" s="0" t="n">
        <v>1996</v>
      </c>
      <c r="E506" s="0" t="n">
        <v>2025</v>
      </c>
      <c r="F506" s="1" t="s">
        <v>19</v>
      </c>
      <c r="G506" s="0" t="n">
        <v>65000000</v>
      </c>
      <c r="H506" s="0" t="n">
        <f aca="false">LN(G506/C506)</f>
        <v>14.0778748224318</v>
      </c>
      <c r="I506" s="0" t="n">
        <f aca="false">B506</f>
        <v>7</v>
      </c>
      <c r="J506" s="0" t="n">
        <f aca="false">E506-D506</f>
        <v>29</v>
      </c>
      <c r="K506" s="0" t="n">
        <f aca="false">C506</f>
        <v>50</v>
      </c>
      <c r="L506" s="0" t="n">
        <f aca="false">IF(F506="改装済み",1,0)</f>
        <v>0</v>
      </c>
      <c r="M506" s="0" t="n">
        <f aca="false">IF(A506="池尻大橋",1,0)</f>
        <v>0</v>
      </c>
      <c r="N506" s="0" t="n">
        <f aca="false">IF(A506="三軒茶屋",1,0)</f>
        <v>1</v>
      </c>
      <c r="O506" s="0" t="n">
        <f aca="false">IF(A506="駒沢大学",1,0)</f>
        <v>0</v>
      </c>
      <c r="P506" s="0" t="n">
        <f aca="false">IF(A506="桜新町",1,0)</f>
        <v>0</v>
      </c>
      <c r="Q506" s="0" t="n">
        <f aca="false">IF(A506="二子玉川",1,0)</f>
        <v>0</v>
      </c>
      <c r="R506" s="0" t="n">
        <f aca="false">IF(E506=2021,1,0)</f>
        <v>0</v>
      </c>
      <c r="S506" s="0" t="n">
        <f aca="false">IF(E506=2022,1,0)</f>
        <v>0</v>
      </c>
      <c r="T506" s="0" t="n">
        <f aca="false">IF(E506=2023,1,0)</f>
        <v>0</v>
      </c>
      <c r="U506" s="0" t="n">
        <f aca="false">IF(E506=2024,1,0)</f>
        <v>0</v>
      </c>
    </row>
    <row r="507" customFormat="false" ht="15" hidden="false" customHeight="false" outlineLevel="0" collapsed="false">
      <c r="A507" s="1" t="s">
        <v>10</v>
      </c>
      <c r="B507" s="0" t="n">
        <v>7</v>
      </c>
      <c r="C507" s="0" t="n">
        <v>50</v>
      </c>
      <c r="D507" s="0" t="n">
        <v>1996</v>
      </c>
      <c r="E507" s="0" t="n">
        <v>2025</v>
      </c>
      <c r="F507" s="1" t="s">
        <v>18</v>
      </c>
      <c r="G507" s="0" t="n">
        <v>80000000</v>
      </c>
      <c r="H507" s="0" t="n">
        <f aca="false">LN(G507/C507)</f>
        <v>14.28551418721</v>
      </c>
      <c r="I507" s="0" t="n">
        <f aca="false">B507</f>
        <v>7</v>
      </c>
      <c r="J507" s="0" t="n">
        <f aca="false">E507-D507</f>
        <v>29</v>
      </c>
      <c r="K507" s="0" t="n">
        <f aca="false">C507</f>
        <v>50</v>
      </c>
      <c r="L507" s="0" t="n">
        <f aca="false">IF(F507="改装済み",1,0)</f>
        <v>1</v>
      </c>
      <c r="M507" s="0" t="n">
        <f aca="false">IF(A507="池尻大橋",1,0)</f>
        <v>0</v>
      </c>
      <c r="N507" s="0" t="n">
        <f aca="false">IF(A507="三軒茶屋",1,0)</f>
        <v>1</v>
      </c>
      <c r="O507" s="0" t="n">
        <f aca="false">IF(A507="駒沢大学",1,0)</f>
        <v>0</v>
      </c>
      <c r="P507" s="0" t="n">
        <f aca="false">IF(A507="桜新町",1,0)</f>
        <v>0</v>
      </c>
      <c r="Q507" s="0" t="n">
        <f aca="false">IF(A507="二子玉川",1,0)</f>
        <v>0</v>
      </c>
      <c r="R507" s="0" t="n">
        <f aca="false">IF(E507=2021,1,0)</f>
        <v>0</v>
      </c>
      <c r="S507" s="0" t="n">
        <f aca="false">IF(E507=2022,1,0)</f>
        <v>0</v>
      </c>
      <c r="T507" s="0" t="n">
        <f aca="false">IF(E507=2023,1,0)</f>
        <v>0</v>
      </c>
      <c r="U507" s="0" t="n">
        <f aca="false">IF(E507=2024,1,0)</f>
        <v>0</v>
      </c>
    </row>
    <row r="508" customFormat="false" ht="15" hidden="false" customHeight="false" outlineLevel="0" collapsed="false">
      <c r="A508" s="1" t="s">
        <v>10</v>
      </c>
      <c r="B508" s="0" t="n">
        <v>7</v>
      </c>
      <c r="C508" s="0" t="n">
        <v>50</v>
      </c>
      <c r="D508" s="0" t="n">
        <v>1996</v>
      </c>
      <c r="E508" s="0" t="n">
        <v>2023</v>
      </c>
      <c r="F508" s="1" t="s">
        <v>18</v>
      </c>
      <c r="G508" s="0" t="n">
        <v>65000000</v>
      </c>
      <c r="H508" s="0" t="n">
        <f aca="false">LN(G508/C508)</f>
        <v>14.0778748224318</v>
      </c>
      <c r="I508" s="0" t="n">
        <f aca="false">B508</f>
        <v>7</v>
      </c>
      <c r="J508" s="0" t="n">
        <f aca="false">E508-D508</f>
        <v>27</v>
      </c>
      <c r="K508" s="0" t="n">
        <f aca="false">C508</f>
        <v>50</v>
      </c>
      <c r="L508" s="0" t="n">
        <f aca="false">IF(F508="改装済み",1,0)</f>
        <v>1</v>
      </c>
      <c r="M508" s="0" t="n">
        <f aca="false">IF(A508="池尻大橋",1,0)</f>
        <v>0</v>
      </c>
      <c r="N508" s="0" t="n">
        <f aca="false">IF(A508="三軒茶屋",1,0)</f>
        <v>1</v>
      </c>
      <c r="O508" s="0" t="n">
        <f aca="false">IF(A508="駒沢大学",1,0)</f>
        <v>0</v>
      </c>
      <c r="P508" s="0" t="n">
        <f aca="false">IF(A508="桜新町",1,0)</f>
        <v>0</v>
      </c>
      <c r="Q508" s="0" t="n">
        <f aca="false">IF(A508="二子玉川",1,0)</f>
        <v>0</v>
      </c>
      <c r="R508" s="0" t="n">
        <f aca="false">IF(E508=2021,1,0)</f>
        <v>0</v>
      </c>
      <c r="S508" s="0" t="n">
        <f aca="false">IF(E508=2022,1,0)</f>
        <v>0</v>
      </c>
      <c r="T508" s="0" t="n">
        <f aca="false">IF(E508=2023,1,0)</f>
        <v>1</v>
      </c>
      <c r="U508" s="0" t="n">
        <f aca="false">IF(E508=2024,1,0)</f>
        <v>0</v>
      </c>
    </row>
    <row r="509" customFormat="false" ht="15" hidden="false" customHeight="false" outlineLevel="0" collapsed="false">
      <c r="A509" s="1" t="s">
        <v>10</v>
      </c>
      <c r="B509" s="0" t="n">
        <v>7</v>
      </c>
      <c r="C509" s="0" t="n">
        <v>50</v>
      </c>
      <c r="D509" s="0" t="n">
        <v>1996</v>
      </c>
      <c r="E509" s="0" t="n">
        <v>2023</v>
      </c>
      <c r="F509" s="1" t="s">
        <v>19</v>
      </c>
      <c r="G509" s="0" t="n">
        <v>60000000</v>
      </c>
      <c r="H509" s="0" t="n">
        <f aca="false">LN(G509/C509)</f>
        <v>13.9978321147582</v>
      </c>
      <c r="I509" s="0" t="n">
        <f aca="false">B509</f>
        <v>7</v>
      </c>
      <c r="J509" s="0" t="n">
        <f aca="false">E509-D509</f>
        <v>27</v>
      </c>
      <c r="K509" s="0" t="n">
        <f aca="false">C509</f>
        <v>50</v>
      </c>
      <c r="L509" s="0" t="n">
        <f aca="false">IF(F509="改装済み",1,0)</f>
        <v>0</v>
      </c>
      <c r="M509" s="0" t="n">
        <f aca="false">IF(A509="池尻大橋",1,0)</f>
        <v>0</v>
      </c>
      <c r="N509" s="0" t="n">
        <f aca="false">IF(A509="三軒茶屋",1,0)</f>
        <v>1</v>
      </c>
      <c r="O509" s="0" t="n">
        <f aca="false">IF(A509="駒沢大学",1,0)</f>
        <v>0</v>
      </c>
      <c r="P509" s="0" t="n">
        <f aca="false">IF(A509="桜新町",1,0)</f>
        <v>0</v>
      </c>
      <c r="Q509" s="0" t="n">
        <f aca="false">IF(A509="二子玉川",1,0)</f>
        <v>0</v>
      </c>
      <c r="R509" s="0" t="n">
        <f aca="false">IF(E509=2021,1,0)</f>
        <v>0</v>
      </c>
      <c r="S509" s="0" t="n">
        <f aca="false">IF(E509=2022,1,0)</f>
        <v>0</v>
      </c>
      <c r="T509" s="0" t="n">
        <f aca="false">IF(E509=2023,1,0)</f>
        <v>1</v>
      </c>
      <c r="U509" s="0" t="n">
        <f aca="false">IF(E509=2024,1,0)</f>
        <v>0</v>
      </c>
    </row>
    <row r="510" customFormat="false" ht="15" hidden="false" customHeight="false" outlineLevel="0" collapsed="false">
      <c r="A510" s="1" t="s">
        <v>10</v>
      </c>
      <c r="B510" s="0" t="n">
        <v>7</v>
      </c>
      <c r="C510" s="0" t="n">
        <v>50</v>
      </c>
      <c r="D510" s="0" t="n">
        <v>1996</v>
      </c>
      <c r="E510" s="0" t="n">
        <v>2022</v>
      </c>
      <c r="F510" s="1" t="s">
        <v>18</v>
      </c>
      <c r="G510" s="0" t="n">
        <v>63000000</v>
      </c>
      <c r="H510" s="0" t="n">
        <f aca="false">LN(G510/C510)</f>
        <v>14.0466222789277</v>
      </c>
      <c r="I510" s="0" t="n">
        <f aca="false">B510</f>
        <v>7</v>
      </c>
      <c r="J510" s="0" t="n">
        <f aca="false">E510-D510</f>
        <v>26</v>
      </c>
      <c r="K510" s="0" t="n">
        <f aca="false">C510</f>
        <v>50</v>
      </c>
      <c r="L510" s="0" t="n">
        <f aca="false">IF(F510="改装済み",1,0)</f>
        <v>1</v>
      </c>
      <c r="M510" s="0" t="n">
        <f aca="false">IF(A510="池尻大橋",1,0)</f>
        <v>0</v>
      </c>
      <c r="N510" s="0" t="n">
        <f aca="false">IF(A510="三軒茶屋",1,0)</f>
        <v>1</v>
      </c>
      <c r="O510" s="0" t="n">
        <f aca="false">IF(A510="駒沢大学",1,0)</f>
        <v>0</v>
      </c>
      <c r="P510" s="0" t="n">
        <f aca="false">IF(A510="桜新町",1,0)</f>
        <v>0</v>
      </c>
      <c r="Q510" s="0" t="n">
        <f aca="false">IF(A510="二子玉川",1,0)</f>
        <v>0</v>
      </c>
      <c r="R510" s="0" t="n">
        <f aca="false">IF(E510=2021,1,0)</f>
        <v>0</v>
      </c>
      <c r="S510" s="0" t="n">
        <f aca="false">IF(E510=2022,1,0)</f>
        <v>1</v>
      </c>
      <c r="T510" s="0" t="n">
        <f aca="false">IF(E510=2023,1,0)</f>
        <v>0</v>
      </c>
      <c r="U510" s="0" t="n">
        <f aca="false">IF(E510=2024,1,0)</f>
        <v>0</v>
      </c>
    </row>
    <row r="511" customFormat="false" ht="15" hidden="false" customHeight="false" outlineLevel="0" collapsed="false">
      <c r="A511" s="1" t="s">
        <v>10</v>
      </c>
      <c r="B511" s="0" t="n">
        <v>12</v>
      </c>
      <c r="C511" s="0" t="n">
        <v>50</v>
      </c>
      <c r="D511" s="0" t="n">
        <v>2004</v>
      </c>
      <c r="E511" s="0" t="n">
        <v>2022</v>
      </c>
      <c r="F511" s="1" t="s">
        <v>19</v>
      </c>
      <c r="G511" s="0" t="n">
        <v>46000000</v>
      </c>
      <c r="H511" s="0" t="n">
        <f aca="false">LN(G511/C511)</f>
        <v>13.7321289490252</v>
      </c>
      <c r="I511" s="0" t="n">
        <f aca="false">B511</f>
        <v>12</v>
      </c>
      <c r="J511" s="0" t="n">
        <f aca="false">E511-D511</f>
        <v>18</v>
      </c>
      <c r="K511" s="0" t="n">
        <f aca="false">C511</f>
        <v>50</v>
      </c>
      <c r="L511" s="0" t="n">
        <f aca="false">IF(F511="改装済み",1,0)</f>
        <v>0</v>
      </c>
      <c r="M511" s="0" t="n">
        <f aca="false">IF(A511="池尻大橋",1,0)</f>
        <v>0</v>
      </c>
      <c r="N511" s="0" t="n">
        <f aca="false">IF(A511="三軒茶屋",1,0)</f>
        <v>1</v>
      </c>
      <c r="O511" s="0" t="n">
        <f aca="false">IF(A511="駒沢大学",1,0)</f>
        <v>0</v>
      </c>
      <c r="P511" s="0" t="n">
        <f aca="false">IF(A511="桜新町",1,0)</f>
        <v>0</v>
      </c>
      <c r="Q511" s="0" t="n">
        <f aca="false">IF(A511="二子玉川",1,0)</f>
        <v>0</v>
      </c>
      <c r="R511" s="0" t="n">
        <f aca="false">IF(E511=2021,1,0)</f>
        <v>0</v>
      </c>
      <c r="S511" s="0" t="n">
        <f aca="false">IF(E511=2022,1,0)</f>
        <v>1</v>
      </c>
      <c r="T511" s="0" t="n">
        <f aca="false">IF(E511=2023,1,0)</f>
        <v>0</v>
      </c>
      <c r="U511" s="0" t="n">
        <f aca="false">IF(E511=2024,1,0)</f>
        <v>0</v>
      </c>
    </row>
    <row r="512" customFormat="false" ht="15" hidden="false" customHeight="false" outlineLevel="0" collapsed="false">
      <c r="A512" s="1" t="s">
        <v>10</v>
      </c>
      <c r="B512" s="0" t="n">
        <v>14</v>
      </c>
      <c r="C512" s="0" t="n">
        <v>60</v>
      </c>
      <c r="D512" s="0" t="n">
        <v>2004</v>
      </c>
      <c r="E512" s="0" t="n">
        <v>2022</v>
      </c>
      <c r="F512" s="1" t="s">
        <v>19</v>
      </c>
      <c r="G512" s="0" t="n">
        <v>42000000</v>
      </c>
      <c r="H512" s="0" t="n">
        <f aca="false">LN(G512/C512)</f>
        <v>13.4588356140255</v>
      </c>
      <c r="I512" s="0" t="n">
        <f aca="false">B512</f>
        <v>14</v>
      </c>
      <c r="J512" s="0" t="n">
        <f aca="false">E512-D512</f>
        <v>18</v>
      </c>
      <c r="K512" s="0" t="n">
        <f aca="false">C512</f>
        <v>60</v>
      </c>
      <c r="L512" s="0" t="n">
        <f aca="false">IF(F512="改装済み",1,0)</f>
        <v>0</v>
      </c>
      <c r="M512" s="0" t="n">
        <f aca="false">IF(A512="池尻大橋",1,0)</f>
        <v>0</v>
      </c>
      <c r="N512" s="0" t="n">
        <f aca="false">IF(A512="三軒茶屋",1,0)</f>
        <v>1</v>
      </c>
      <c r="O512" s="0" t="n">
        <f aca="false">IF(A512="駒沢大学",1,0)</f>
        <v>0</v>
      </c>
      <c r="P512" s="0" t="n">
        <f aca="false">IF(A512="桜新町",1,0)</f>
        <v>0</v>
      </c>
      <c r="Q512" s="0" t="n">
        <f aca="false">IF(A512="二子玉川",1,0)</f>
        <v>0</v>
      </c>
      <c r="R512" s="0" t="n">
        <f aca="false">IF(E512=2021,1,0)</f>
        <v>0</v>
      </c>
      <c r="S512" s="0" t="n">
        <f aca="false">IF(E512=2022,1,0)</f>
        <v>1</v>
      </c>
      <c r="T512" s="0" t="n">
        <f aca="false">IF(E512=2023,1,0)</f>
        <v>0</v>
      </c>
      <c r="U512" s="0" t="n">
        <f aca="false">IF(E512=2024,1,0)</f>
        <v>0</v>
      </c>
    </row>
    <row r="513" customFormat="false" ht="15" hidden="false" customHeight="false" outlineLevel="0" collapsed="false">
      <c r="A513" s="1" t="s">
        <v>12</v>
      </c>
      <c r="B513" s="0" t="n">
        <v>11</v>
      </c>
      <c r="C513" s="0" t="n">
        <v>60</v>
      </c>
      <c r="D513" s="0" t="n">
        <v>2004</v>
      </c>
      <c r="E513" s="0" t="n">
        <v>2024</v>
      </c>
      <c r="F513" s="1" t="s">
        <v>19</v>
      </c>
      <c r="G513" s="0" t="n">
        <v>67000000</v>
      </c>
      <c r="H513" s="0" t="n">
        <f aca="false">LN(G513/C513)</f>
        <v>13.9258586151331</v>
      </c>
      <c r="I513" s="0" t="n">
        <f aca="false">B513</f>
        <v>11</v>
      </c>
      <c r="J513" s="0" t="n">
        <f aca="false">E513-D513</f>
        <v>20</v>
      </c>
      <c r="K513" s="0" t="n">
        <f aca="false">C513</f>
        <v>60</v>
      </c>
      <c r="L513" s="0" t="n">
        <f aca="false">IF(F513="改装済み",1,0)</f>
        <v>0</v>
      </c>
      <c r="M513" s="0" t="n">
        <f aca="false">IF(A513="池尻大橋",1,0)</f>
        <v>0</v>
      </c>
      <c r="N513" s="0" t="n">
        <f aca="false">IF(A513="三軒茶屋",1,0)</f>
        <v>0</v>
      </c>
      <c r="O513" s="0" t="n">
        <f aca="false">IF(A513="駒沢大学",1,0)</f>
        <v>0</v>
      </c>
      <c r="P513" s="0" t="n">
        <f aca="false">IF(A513="桜新町",1,0)</f>
        <v>1</v>
      </c>
      <c r="Q513" s="0" t="n">
        <f aca="false">IF(A513="二子玉川",1,0)</f>
        <v>0</v>
      </c>
      <c r="R513" s="0" t="n">
        <f aca="false">IF(E513=2021,1,0)</f>
        <v>0</v>
      </c>
      <c r="S513" s="0" t="n">
        <f aca="false">IF(E513=2022,1,0)</f>
        <v>0</v>
      </c>
      <c r="T513" s="0" t="n">
        <f aca="false">IF(E513=2023,1,0)</f>
        <v>0</v>
      </c>
      <c r="U513" s="0" t="n">
        <f aca="false">IF(E513=2024,1,0)</f>
        <v>1</v>
      </c>
    </row>
    <row r="514" customFormat="false" ht="15" hidden="false" customHeight="false" outlineLevel="0" collapsed="false">
      <c r="A514" s="1" t="s">
        <v>20</v>
      </c>
      <c r="B514" s="0" t="n">
        <v>3</v>
      </c>
      <c r="C514" s="0" t="n">
        <v>60</v>
      </c>
      <c r="D514" s="0" t="n">
        <v>2016</v>
      </c>
      <c r="E514" s="0" t="n">
        <v>2025</v>
      </c>
      <c r="F514" s="1" t="s">
        <v>19</v>
      </c>
      <c r="G514" s="0" t="n">
        <v>89000000</v>
      </c>
      <c r="H514" s="0" t="n">
        <f aca="false">LN(G514/C514)</f>
        <v>14.2098023654743</v>
      </c>
      <c r="I514" s="0" t="n">
        <f aca="false">B514</f>
        <v>3</v>
      </c>
      <c r="J514" s="0" t="n">
        <f aca="false">E514-D514</f>
        <v>9</v>
      </c>
      <c r="K514" s="0" t="n">
        <f aca="false">C514</f>
        <v>60</v>
      </c>
      <c r="L514" s="0" t="n">
        <f aca="false">IF(F514="改装済み",1,0)</f>
        <v>0</v>
      </c>
      <c r="M514" s="0" t="n">
        <f aca="false">IF(A514="池尻大橋",1,0)</f>
        <v>0</v>
      </c>
      <c r="N514" s="0" t="n">
        <f aca="false">IF(A514="三軒茶屋",1,0)</f>
        <v>0</v>
      </c>
      <c r="O514" s="0" t="n">
        <f aca="false">IF(A514="駒沢大学",1,0)</f>
        <v>0</v>
      </c>
      <c r="P514" s="0" t="n">
        <f aca="false">IF(A514="桜新町",1,0)</f>
        <v>0</v>
      </c>
      <c r="Q514" s="0" t="n">
        <f aca="false">IF(A514="二子玉川",1,0)</f>
        <v>0</v>
      </c>
      <c r="R514" s="0" t="n">
        <f aca="false">IF(E514=2021,1,0)</f>
        <v>0</v>
      </c>
      <c r="S514" s="0" t="n">
        <f aca="false">IF(E514=2022,1,0)</f>
        <v>0</v>
      </c>
      <c r="T514" s="0" t="n">
        <f aca="false">IF(E514=2023,1,0)</f>
        <v>0</v>
      </c>
      <c r="U514" s="0" t="n">
        <f aca="false">IF(E514=2024,1,0)</f>
        <v>0</v>
      </c>
    </row>
    <row r="515" customFormat="false" ht="15" hidden="false" customHeight="false" outlineLevel="0" collapsed="false">
      <c r="A515" s="1" t="s">
        <v>20</v>
      </c>
      <c r="B515" s="0" t="n">
        <v>9</v>
      </c>
      <c r="C515" s="0" t="n">
        <v>80</v>
      </c>
      <c r="D515" s="0" t="n">
        <v>2005</v>
      </c>
      <c r="E515" s="0" t="n">
        <v>2025</v>
      </c>
      <c r="F515" s="1" t="s">
        <v>19</v>
      </c>
      <c r="G515" s="0" t="n">
        <v>120000000</v>
      </c>
      <c r="H515" s="0" t="n">
        <f aca="false">LN(G515/C515)</f>
        <v>14.2209756660724</v>
      </c>
      <c r="I515" s="0" t="n">
        <f aca="false">B515</f>
        <v>9</v>
      </c>
      <c r="J515" s="0" t="n">
        <f aca="false">E515-D515</f>
        <v>20</v>
      </c>
      <c r="K515" s="0" t="n">
        <f aca="false">C515</f>
        <v>80</v>
      </c>
      <c r="L515" s="0" t="n">
        <f aca="false">IF(F515="改装済み",1,0)</f>
        <v>0</v>
      </c>
      <c r="M515" s="0" t="n">
        <f aca="false">IF(A515="池尻大橋",1,0)</f>
        <v>0</v>
      </c>
      <c r="N515" s="0" t="n">
        <f aca="false">IF(A515="三軒茶屋",1,0)</f>
        <v>0</v>
      </c>
      <c r="O515" s="0" t="n">
        <f aca="false">IF(A515="駒沢大学",1,0)</f>
        <v>0</v>
      </c>
      <c r="P515" s="0" t="n">
        <f aca="false">IF(A515="桜新町",1,0)</f>
        <v>0</v>
      </c>
      <c r="Q515" s="0" t="n">
        <f aca="false">IF(A515="二子玉川",1,0)</f>
        <v>0</v>
      </c>
      <c r="R515" s="0" t="n">
        <f aca="false">IF(E515=2021,1,0)</f>
        <v>0</v>
      </c>
      <c r="S515" s="0" t="n">
        <f aca="false">IF(E515=2022,1,0)</f>
        <v>0</v>
      </c>
      <c r="T515" s="0" t="n">
        <f aca="false">IF(E515=2023,1,0)</f>
        <v>0</v>
      </c>
      <c r="U515" s="0" t="n">
        <f aca="false">IF(E515=2024,1,0)</f>
        <v>0</v>
      </c>
    </row>
    <row r="516" customFormat="false" ht="15" hidden="false" customHeight="false" outlineLevel="0" collapsed="false">
      <c r="A516" s="1" t="s">
        <v>20</v>
      </c>
      <c r="B516" s="0" t="n">
        <v>3</v>
      </c>
      <c r="C516" s="0" t="n">
        <v>70</v>
      </c>
      <c r="D516" s="0" t="n">
        <v>1997</v>
      </c>
      <c r="E516" s="0" t="n">
        <v>2025</v>
      </c>
      <c r="F516" s="1" t="s">
        <v>18</v>
      </c>
      <c r="G516" s="0" t="n">
        <v>97000000</v>
      </c>
      <c r="H516" s="0" t="n">
        <f aca="false">LN(G516/C516)</f>
        <v>14.1417262944183</v>
      </c>
      <c r="I516" s="0" t="n">
        <f aca="false">B516</f>
        <v>3</v>
      </c>
      <c r="J516" s="0" t="n">
        <f aca="false">E516-D516</f>
        <v>28</v>
      </c>
      <c r="K516" s="0" t="n">
        <f aca="false">C516</f>
        <v>70</v>
      </c>
      <c r="L516" s="0" t="n">
        <f aca="false">IF(F516="改装済み",1,0)</f>
        <v>1</v>
      </c>
      <c r="M516" s="0" t="n">
        <f aca="false">IF(A516="池尻大橋",1,0)</f>
        <v>0</v>
      </c>
      <c r="N516" s="0" t="n">
        <f aca="false">IF(A516="三軒茶屋",1,0)</f>
        <v>0</v>
      </c>
      <c r="O516" s="0" t="n">
        <f aca="false">IF(A516="駒沢大学",1,0)</f>
        <v>0</v>
      </c>
      <c r="P516" s="0" t="n">
        <f aca="false">IF(A516="桜新町",1,0)</f>
        <v>0</v>
      </c>
      <c r="Q516" s="0" t="n">
        <f aca="false">IF(A516="二子玉川",1,0)</f>
        <v>0</v>
      </c>
      <c r="R516" s="0" t="n">
        <f aca="false">IF(E516=2021,1,0)</f>
        <v>0</v>
      </c>
      <c r="S516" s="0" t="n">
        <f aca="false">IF(E516=2022,1,0)</f>
        <v>0</v>
      </c>
      <c r="T516" s="0" t="n">
        <f aca="false">IF(E516=2023,1,0)</f>
        <v>0</v>
      </c>
      <c r="U516" s="0" t="n">
        <f aca="false">IF(E516=2024,1,0)</f>
        <v>0</v>
      </c>
    </row>
    <row r="517" customFormat="false" ht="15" hidden="false" customHeight="false" outlineLevel="0" collapsed="false">
      <c r="A517" s="1" t="s">
        <v>20</v>
      </c>
      <c r="B517" s="0" t="n">
        <v>5</v>
      </c>
      <c r="C517" s="0" t="n">
        <v>80</v>
      </c>
      <c r="D517" s="0" t="n">
        <v>1986</v>
      </c>
      <c r="E517" s="0" t="n">
        <v>2025</v>
      </c>
      <c r="F517" s="1" t="s">
        <v>19</v>
      </c>
      <c r="G517" s="0" t="n">
        <v>78000000</v>
      </c>
      <c r="H517" s="0" t="n">
        <f aca="false">LN(G517/C517)</f>
        <v>13.79019274998</v>
      </c>
      <c r="I517" s="0" t="n">
        <f aca="false">B517</f>
        <v>5</v>
      </c>
      <c r="J517" s="0" t="n">
        <f aca="false">E517-D517</f>
        <v>39</v>
      </c>
      <c r="K517" s="0" t="n">
        <f aca="false">C517</f>
        <v>80</v>
      </c>
      <c r="L517" s="0" t="n">
        <f aca="false">IF(F517="改装済み",1,0)</f>
        <v>0</v>
      </c>
      <c r="M517" s="0" t="n">
        <f aca="false">IF(A517="池尻大橋",1,0)</f>
        <v>0</v>
      </c>
      <c r="N517" s="0" t="n">
        <f aca="false">IF(A517="三軒茶屋",1,0)</f>
        <v>0</v>
      </c>
      <c r="O517" s="0" t="n">
        <f aca="false">IF(A517="駒沢大学",1,0)</f>
        <v>0</v>
      </c>
      <c r="P517" s="0" t="n">
        <f aca="false">IF(A517="桜新町",1,0)</f>
        <v>0</v>
      </c>
      <c r="Q517" s="0" t="n">
        <f aca="false">IF(A517="二子玉川",1,0)</f>
        <v>0</v>
      </c>
      <c r="R517" s="0" t="n">
        <f aca="false">IF(E517=2021,1,0)</f>
        <v>0</v>
      </c>
      <c r="S517" s="0" t="n">
        <f aca="false">IF(E517=2022,1,0)</f>
        <v>0</v>
      </c>
      <c r="T517" s="0" t="n">
        <f aca="false">IF(E517=2023,1,0)</f>
        <v>0</v>
      </c>
      <c r="U517" s="0" t="n">
        <f aca="false">IF(E517=2024,1,0)</f>
        <v>0</v>
      </c>
    </row>
    <row r="518" customFormat="false" ht="15" hidden="false" customHeight="false" outlineLevel="0" collapsed="false">
      <c r="A518" s="1" t="s">
        <v>20</v>
      </c>
      <c r="B518" s="0" t="n">
        <v>6</v>
      </c>
      <c r="C518" s="0" t="n">
        <v>70</v>
      </c>
      <c r="D518" s="0" t="n">
        <v>2012</v>
      </c>
      <c r="E518" s="0" t="n">
        <v>2025</v>
      </c>
      <c r="F518" s="1" t="s">
        <v>18</v>
      </c>
      <c r="G518" s="0" t="n">
        <v>130000000</v>
      </c>
      <c r="H518" s="0" t="n">
        <f aca="false">LN(G518/C518)</f>
        <v>14.4345497663705</v>
      </c>
      <c r="I518" s="0" t="n">
        <f aca="false">B518</f>
        <v>6</v>
      </c>
      <c r="J518" s="0" t="n">
        <f aca="false">E518-D518</f>
        <v>13</v>
      </c>
      <c r="K518" s="0" t="n">
        <f aca="false">C518</f>
        <v>70</v>
      </c>
      <c r="L518" s="0" t="n">
        <f aca="false">IF(F518="改装済み",1,0)</f>
        <v>1</v>
      </c>
      <c r="M518" s="0" t="n">
        <f aca="false">IF(A518="池尻大橋",1,0)</f>
        <v>0</v>
      </c>
      <c r="N518" s="0" t="n">
        <f aca="false">IF(A518="三軒茶屋",1,0)</f>
        <v>0</v>
      </c>
      <c r="O518" s="0" t="n">
        <f aca="false">IF(A518="駒沢大学",1,0)</f>
        <v>0</v>
      </c>
      <c r="P518" s="0" t="n">
        <f aca="false">IF(A518="桜新町",1,0)</f>
        <v>0</v>
      </c>
      <c r="Q518" s="0" t="n">
        <f aca="false">IF(A518="二子玉川",1,0)</f>
        <v>0</v>
      </c>
      <c r="R518" s="0" t="n">
        <f aca="false">IF(E518=2021,1,0)</f>
        <v>0</v>
      </c>
      <c r="S518" s="0" t="n">
        <f aca="false">IF(E518=2022,1,0)</f>
        <v>0</v>
      </c>
      <c r="T518" s="0" t="n">
        <f aca="false">IF(E518=2023,1,0)</f>
        <v>0</v>
      </c>
      <c r="U518" s="0" t="n">
        <f aca="false">IF(E518=2024,1,0)</f>
        <v>0</v>
      </c>
    </row>
    <row r="519" customFormat="false" ht="15" hidden="false" customHeight="false" outlineLevel="0" collapsed="false">
      <c r="A519" s="1" t="s">
        <v>20</v>
      </c>
      <c r="B519" s="0" t="n">
        <v>1</v>
      </c>
      <c r="C519" s="0" t="n">
        <v>50</v>
      </c>
      <c r="D519" s="0" t="n">
        <v>1997</v>
      </c>
      <c r="E519" s="0" t="n">
        <v>2025</v>
      </c>
      <c r="F519" s="1" t="s">
        <v>18</v>
      </c>
      <c r="G519" s="0" t="n">
        <v>90000000</v>
      </c>
      <c r="H519" s="0" t="n">
        <f aca="false">LN(G519/C519)</f>
        <v>14.4032972228664</v>
      </c>
      <c r="I519" s="0" t="n">
        <f aca="false">B519</f>
        <v>1</v>
      </c>
      <c r="J519" s="0" t="n">
        <f aca="false">E519-D519</f>
        <v>28</v>
      </c>
      <c r="K519" s="0" t="n">
        <f aca="false">C519</f>
        <v>50</v>
      </c>
      <c r="L519" s="0" t="n">
        <f aca="false">IF(F519="改装済み",1,0)</f>
        <v>1</v>
      </c>
      <c r="M519" s="0" t="n">
        <f aca="false">IF(A519="池尻大橋",1,0)</f>
        <v>0</v>
      </c>
      <c r="N519" s="0" t="n">
        <f aca="false">IF(A519="三軒茶屋",1,0)</f>
        <v>0</v>
      </c>
      <c r="O519" s="0" t="n">
        <f aca="false">IF(A519="駒沢大学",1,0)</f>
        <v>0</v>
      </c>
      <c r="P519" s="0" t="n">
        <f aca="false">IF(A519="桜新町",1,0)</f>
        <v>0</v>
      </c>
      <c r="Q519" s="0" t="n">
        <f aca="false">IF(A519="二子玉川",1,0)</f>
        <v>0</v>
      </c>
      <c r="R519" s="0" t="n">
        <f aca="false">IF(E519=2021,1,0)</f>
        <v>0</v>
      </c>
      <c r="S519" s="0" t="n">
        <f aca="false">IF(E519=2022,1,0)</f>
        <v>0</v>
      </c>
      <c r="T519" s="0" t="n">
        <f aca="false">IF(E519=2023,1,0)</f>
        <v>0</v>
      </c>
      <c r="U519" s="0" t="n">
        <f aca="false">IF(E519=2024,1,0)</f>
        <v>0</v>
      </c>
    </row>
    <row r="520" customFormat="false" ht="15" hidden="false" customHeight="false" outlineLevel="0" collapsed="false">
      <c r="A520" s="1" t="s">
        <v>20</v>
      </c>
      <c r="B520" s="0" t="n">
        <v>10</v>
      </c>
      <c r="C520" s="0" t="n">
        <v>60</v>
      </c>
      <c r="D520" s="0" t="n">
        <v>1995</v>
      </c>
      <c r="E520" s="0" t="n">
        <v>2025</v>
      </c>
      <c r="F520" s="1" t="s">
        <v>19</v>
      </c>
      <c r="G520" s="0" t="n">
        <v>72000000</v>
      </c>
      <c r="H520" s="0" t="n">
        <f aca="false">LN(G520/C520)</f>
        <v>13.9978321147582</v>
      </c>
      <c r="I520" s="0" t="n">
        <f aca="false">B520</f>
        <v>10</v>
      </c>
      <c r="J520" s="0" t="n">
        <f aca="false">E520-D520</f>
        <v>30</v>
      </c>
      <c r="K520" s="0" t="n">
        <f aca="false">C520</f>
        <v>60</v>
      </c>
      <c r="L520" s="0" t="n">
        <f aca="false">IF(F520="改装済み",1,0)</f>
        <v>0</v>
      </c>
      <c r="M520" s="0" t="n">
        <f aca="false">IF(A520="池尻大橋",1,0)</f>
        <v>0</v>
      </c>
      <c r="N520" s="0" t="n">
        <f aca="false">IF(A520="三軒茶屋",1,0)</f>
        <v>0</v>
      </c>
      <c r="O520" s="0" t="n">
        <f aca="false">IF(A520="駒沢大学",1,0)</f>
        <v>0</v>
      </c>
      <c r="P520" s="0" t="n">
        <f aca="false">IF(A520="桜新町",1,0)</f>
        <v>0</v>
      </c>
      <c r="Q520" s="0" t="n">
        <f aca="false">IF(A520="二子玉川",1,0)</f>
        <v>0</v>
      </c>
      <c r="R520" s="0" t="n">
        <f aca="false">IF(E520=2021,1,0)</f>
        <v>0</v>
      </c>
      <c r="S520" s="0" t="n">
        <f aca="false">IF(E520=2022,1,0)</f>
        <v>0</v>
      </c>
      <c r="T520" s="0" t="n">
        <f aca="false">IF(E520=2023,1,0)</f>
        <v>0</v>
      </c>
      <c r="U520" s="0" t="n">
        <f aca="false">IF(E520=2024,1,0)</f>
        <v>0</v>
      </c>
    </row>
    <row r="521" customFormat="false" ht="15" hidden="false" customHeight="false" outlineLevel="0" collapsed="false">
      <c r="A521" s="1" t="s">
        <v>20</v>
      </c>
      <c r="B521" s="0" t="n">
        <v>4</v>
      </c>
      <c r="C521" s="0" t="n">
        <v>50</v>
      </c>
      <c r="D521" s="0" t="n">
        <v>1989</v>
      </c>
      <c r="E521" s="0" t="n">
        <v>2024</v>
      </c>
      <c r="F521" s="1" t="s">
        <v>18</v>
      </c>
      <c r="G521" s="0" t="n">
        <v>58000000</v>
      </c>
      <c r="H521" s="0" t="n">
        <f aca="false">LN(G521/C521)</f>
        <v>13.9639305630825</v>
      </c>
      <c r="I521" s="0" t="n">
        <f aca="false">B521</f>
        <v>4</v>
      </c>
      <c r="J521" s="0" t="n">
        <f aca="false">E521-D521</f>
        <v>35</v>
      </c>
      <c r="K521" s="0" t="n">
        <f aca="false">C521</f>
        <v>50</v>
      </c>
      <c r="L521" s="0" t="n">
        <f aca="false">IF(F521="改装済み",1,0)</f>
        <v>1</v>
      </c>
      <c r="M521" s="0" t="n">
        <f aca="false">IF(A521="池尻大橋",1,0)</f>
        <v>0</v>
      </c>
      <c r="N521" s="0" t="n">
        <f aca="false">IF(A521="三軒茶屋",1,0)</f>
        <v>0</v>
      </c>
      <c r="O521" s="0" t="n">
        <f aca="false">IF(A521="駒沢大学",1,0)</f>
        <v>0</v>
      </c>
      <c r="P521" s="0" t="n">
        <f aca="false">IF(A521="桜新町",1,0)</f>
        <v>0</v>
      </c>
      <c r="Q521" s="0" t="n">
        <f aca="false">IF(A521="二子玉川",1,0)</f>
        <v>0</v>
      </c>
      <c r="R521" s="0" t="n">
        <f aca="false">IF(E521=2021,1,0)</f>
        <v>0</v>
      </c>
      <c r="S521" s="0" t="n">
        <f aca="false">IF(E521=2022,1,0)</f>
        <v>0</v>
      </c>
      <c r="T521" s="0" t="n">
        <f aca="false">IF(E521=2023,1,0)</f>
        <v>0</v>
      </c>
      <c r="U521" s="0" t="n">
        <f aca="false">IF(E521=2024,1,0)</f>
        <v>1</v>
      </c>
    </row>
    <row r="522" customFormat="false" ht="15" hidden="false" customHeight="false" outlineLevel="0" collapsed="false">
      <c r="A522" s="1" t="s">
        <v>20</v>
      </c>
      <c r="B522" s="0" t="n">
        <v>1</v>
      </c>
      <c r="C522" s="0" t="n">
        <v>50</v>
      </c>
      <c r="D522" s="0" t="n">
        <v>1997</v>
      </c>
      <c r="E522" s="0" t="n">
        <v>2024</v>
      </c>
      <c r="F522" s="1" t="s">
        <v>19</v>
      </c>
      <c r="G522" s="0" t="n">
        <v>67000000</v>
      </c>
      <c r="H522" s="0" t="n">
        <f aca="false">LN(G522/C522)</f>
        <v>14.1081801719271</v>
      </c>
      <c r="I522" s="0" t="n">
        <f aca="false">B522</f>
        <v>1</v>
      </c>
      <c r="J522" s="0" t="n">
        <f aca="false">E522-D522</f>
        <v>27</v>
      </c>
      <c r="K522" s="0" t="n">
        <f aca="false">C522</f>
        <v>50</v>
      </c>
      <c r="L522" s="0" t="n">
        <f aca="false">IF(F522="改装済み",1,0)</f>
        <v>0</v>
      </c>
      <c r="M522" s="0" t="n">
        <f aca="false">IF(A522="池尻大橋",1,0)</f>
        <v>0</v>
      </c>
      <c r="N522" s="0" t="n">
        <f aca="false">IF(A522="三軒茶屋",1,0)</f>
        <v>0</v>
      </c>
      <c r="O522" s="0" t="n">
        <f aca="false">IF(A522="駒沢大学",1,0)</f>
        <v>0</v>
      </c>
      <c r="P522" s="0" t="n">
        <f aca="false">IF(A522="桜新町",1,0)</f>
        <v>0</v>
      </c>
      <c r="Q522" s="0" t="n">
        <f aca="false">IF(A522="二子玉川",1,0)</f>
        <v>0</v>
      </c>
      <c r="R522" s="0" t="n">
        <f aca="false">IF(E522=2021,1,0)</f>
        <v>0</v>
      </c>
      <c r="S522" s="0" t="n">
        <f aca="false">IF(E522=2022,1,0)</f>
        <v>0</v>
      </c>
      <c r="T522" s="0" t="n">
        <f aca="false">IF(E522=2023,1,0)</f>
        <v>0</v>
      </c>
      <c r="U522" s="0" t="n">
        <f aca="false">IF(E522=2024,1,0)</f>
        <v>1</v>
      </c>
    </row>
    <row r="523" customFormat="false" ht="15" hidden="false" customHeight="false" outlineLevel="0" collapsed="false">
      <c r="A523" s="1" t="s">
        <v>20</v>
      </c>
      <c r="B523" s="0" t="n">
        <v>3</v>
      </c>
      <c r="C523" s="0" t="n">
        <v>70</v>
      </c>
      <c r="D523" s="0" t="n">
        <v>1997</v>
      </c>
      <c r="E523" s="0" t="n">
        <v>2024</v>
      </c>
      <c r="F523" s="1" t="s">
        <v>18</v>
      </c>
      <c r="G523" s="0" t="n">
        <v>99000000</v>
      </c>
      <c r="H523" s="0" t="n">
        <f aca="false">LN(G523/C523)</f>
        <v>14.1621351660495</v>
      </c>
      <c r="I523" s="0" t="n">
        <f aca="false">B523</f>
        <v>3</v>
      </c>
      <c r="J523" s="0" t="n">
        <f aca="false">E523-D523</f>
        <v>27</v>
      </c>
      <c r="K523" s="0" t="n">
        <f aca="false">C523</f>
        <v>70</v>
      </c>
      <c r="L523" s="0" t="n">
        <f aca="false">IF(F523="改装済み",1,0)</f>
        <v>1</v>
      </c>
      <c r="M523" s="0" t="n">
        <f aca="false">IF(A523="池尻大橋",1,0)</f>
        <v>0</v>
      </c>
      <c r="N523" s="0" t="n">
        <f aca="false">IF(A523="三軒茶屋",1,0)</f>
        <v>0</v>
      </c>
      <c r="O523" s="0" t="n">
        <f aca="false">IF(A523="駒沢大学",1,0)</f>
        <v>0</v>
      </c>
      <c r="P523" s="0" t="n">
        <f aca="false">IF(A523="桜新町",1,0)</f>
        <v>0</v>
      </c>
      <c r="Q523" s="0" t="n">
        <f aca="false">IF(A523="二子玉川",1,0)</f>
        <v>0</v>
      </c>
      <c r="R523" s="0" t="n">
        <f aca="false">IF(E523=2021,1,0)</f>
        <v>0</v>
      </c>
      <c r="S523" s="0" t="n">
        <f aca="false">IF(E523=2022,1,0)</f>
        <v>0</v>
      </c>
      <c r="T523" s="0" t="n">
        <f aca="false">IF(E523=2023,1,0)</f>
        <v>0</v>
      </c>
      <c r="U523" s="0" t="n">
        <f aca="false">IF(E523=2024,1,0)</f>
        <v>1</v>
      </c>
    </row>
    <row r="524" customFormat="false" ht="15" hidden="false" customHeight="false" outlineLevel="0" collapsed="false">
      <c r="A524" s="1" t="s">
        <v>20</v>
      </c>
      <c r="B524" s="0" t="n">
        <v>0</v>
      </c>
      <c r="C524" s="0" t="n">
        <v>75</v>
      </c>
      <c r="D524" s="0" t="n">
        <v>1995</v>
      </c>
      <c r="E524" s="0" t="n">
        <v>2024</v>
      </c>
      <c r="F524" s="1" t="s">
        <v>18</v>
      </c>
      <c r="G524" s="0" t="n">
        <v>110000000</v>
      </c>
      <c r="H524" s="0" t="n">
        <f aca="false">LN(G524/C524)</f>
        <v>14.1985028102204</v>
      </c>
      <c r="I524" s="0" t="n">
        <f aca="false">B524</f>
        <v>0</v>
      </c>
      <c r="J524" s="0" t="n">
        <f aca="false">E524-D524</f>
        <v>29</v>
      </c>
      <c r="K524" s="0" t="n">
        <f aca="false">C524</f>
        <v>75</v>
      </c>
      <c r="L524" s="0" t="n">
        <f aca="false">IF(F524="改装済み",1,0)</f>
        <v>1</v>
      </c>
      <c r="M524" s="0" t="n">
        <f aca="false">IF(A524="池尻大橋",1,0)</f>
        <v>0</v>
      </c>
      <c r="N524" s="0" t="n">
        <f aca="false">IF(A524="三軒茶屋",1,0)</f>
        <v>0</v>
      </c>
      <c r="O524" s="0" t="n">
        <f aca="false">IF(A524="駒沢大学",1,0)</f>
        <v>0</v>
      </c>
      <c r="P524" s="0" t="n">
        <f aca="false">IF(A524="桜新町",1,0)</f>
        <v>0</v>
      </c>
      <c r="Q524" s="0" t="n">
        <f aca="false">IF(A524="二子玉川",1,0)</f>
        <v>0</v>
      </c>
      <c r="R524" s="0" t="n">
        <f aca="false">IF(E524=2021,1,0)</f>
        <v>0</v>
      </c>
      <c r="S524" s="0" t="n">
        <f aca="false">IF(E524=2022,1,0)</f>
        <v>0</v>
      </c>
      <c r="T524" s="0" t="n">
        <f aca="false">IF(E524=2023,1,0)</f>
        <v>0</v>
      </c>
      <c r="U524" s="0" t="n">
        <f aca="false">IF(E524=2024,1,0)</f>
        <v>1</v>
      </c>
    </row>
    <row r="525" customFormat="false" ht="15" hidden="false" customHeight="false" outlineLevel="0" collapsed="false">
      <c r="A525" s="1" t="s">
        <v>20</v>
      </c>
      <c r="B525" s="0" t="n">
        <v>9</v>
      </c>
      <c r="C525" s="0" t="n">
        <v>95</v>
      </c>
      <c r="D525" s="0" t="n">
        <v>2005</v>
      </c>
      <c r="E525" s="0" t="n">
        <v>2024</v>
      </c>
      <c r="F525" s="1" t="s">
        <v>19</v>
      </c>
      <c r="G525" s="0" t="n">
        <v>150000000</v>
      </c>
      <c r="H525" s="0" t="n">
        <f aca="false">LN(G525/C525)</f>
        <v>14.27226896046</v>
      </c>
      <c r="I525" s="0" t="n">
        <f aca="false">B525</f>
        <v>9</v>
      </c>
      <c r="J525" s="0" t="n">
        <f aca="false">E525-D525</f>
        <v>19</v>
      </c>
      <c r="K525" s="0" t="n">
        <f aca="false">C525</f>
        <v>95</v>
      </c>
      <c r="L525" s="0" t="n">
        <f aca="false">IF(F525="改装済み",1,0)</f>
        <v>0</v>
      </c>
      <c r="M525" s="0" t="n">
        <f aca="false">IF(A525="池尻大橋",1,0)</f>
        <v>0</v>
      </c>
      <c r="N525" s="0" t="n">
        <f aca="false">IF(A525="三軒茶屋",1,0)</f>
        <v>0</v>
      </c>
      <c r="O525" s="0" t="n">
        <f aca="false">IF(A525="駒沢大学",1,0)</f>
        <v>0</v>
      </c>
      <c r="P525" s="0" t="n">
        <f aca="false">IF(A525="桜新町",1,0)</f>
        <v>0</v>
      </c>
      <c r="Q525" s="0" t="n">
        <f aca="false">IF(A525="二子玉川",1,0)</f>
        <v>0</v>
      </c>
      <c r="R525" s="0" t="n">
        <f aca="false">IF(E525=2021,1,0)</f>
        <v>0</v>
      </c>
      <c r="S525" s="0" t="n">
        <f aca="false">IF(E525=2022,1,0)</f>
        <v>0</v>
      </c>
      <c r="T525" s="0" t="n">
        <f aca="false">IF(E525=2023,1,0)</f>
        <v>0</v>
      </c>
      <c r="U525" s="0" t="n">
        <f aca="false">IF(E525=2024,1,0)</f>
        <v>1</v>
      </c>
    </row>
    <row r="526" customFormat="false" ht="15" hidden="false" customHeight="false" outlineLevel="0" collapsed="false">
      <c r="A526" s="1" t="s">
        <v>20</v>
      </c>
      <c r="B526" s="0" t="n">
        <v>5</v>
      </c>
      <c r="C526" s="0" t="n">
        <v>110</v>
      </c>
      <c r="D526" s="0" t="n">
        <v>1988</v>
      </c>
      <c r="E526" s="0" t="n">
        <v>2024</v>
      </c>
      <c r="F526" s="1" t="s">
        <v>18</v>
      </c>
      <c r="G526" s="0" t="n">
        <v>95000000</v>
      </c>
      <c r="H526" s="0" t="n">
        <f aca="false">LN(G526/C526)</f>
        <v>13.6689070837724</v>
      </c>
      <c r="I526" s="0" t="n">
        <f aca="false">B526</f>
        <v>5</v>
      </c>
      <c r="J526" s="0" t="n">
        <f aca="false">E526-D526</f>
        <v>36</v>
      </c>
      <c r="K526" s="0" t="n">
        <f aca="false">C526</f>
        <v>110</v>
      </c>
      <c r="L526" s="0" t="n">
        <f aca="false">IF(F526="改装済み",1,0)</f>
        <v>1</v>
      </c>
      <c r="M526" s="0" t="n">
        <f aca="false">IF(A526="池尻大橋",1,0)</f>
        <v>0</v>
      </c>
      <c r="N526" s="0" t="n">
        <f aca="false">IF(A526="三軒茶屋",1,0)</f>
        <v>0</v>
      </c>
      <c r="O526" s="0" t="n">
        <f aca="false">IF(A526="駒沢大学",1,0)</f>
        <v>0</v>
      </c>
      <c r="P526" s="0" t="n">
        <f aca="false">IF(A526="桜新町",1,0)</f>
        <v>0</v>
      </c>
      <c r="Q526" s="0" t="n">
        <f aca="false">IF(A526="二子玉川",1,0)</f>
        <v>0</v>
      </c>
      <c r="R526" s="0" t="n">
        <f aca="false">IF(E526=2021,1,0)</f>
        <v>0</v>
      </c>
      <c r="S526" s="0" t="n">
        <f aca="false">IF(E526=2022,1,0)</f>
        <v>0</v>
      </c>
      <c r="T526" s="0" t="n">
        <f aca="false">IF(E526=2023,1,0)</f>
        <v>0</v>
      </c>
      <c r="U526" s="0" t="n">
        <f aca="false">IF(E526=2024,1,0)</f>
        <v>1</v>
      </c>
    </row>
    <row r="527" customFormat="false" ht="15" hidden="false" customHeight="false" outlineLevel="0" collapsed="false">
      <c r="A527" s="1" t="s">
        <v>20</v>
      </c>
      <c r="B527" s="0" t="n">
        <v>6</v>
      </c>
      <c r="C527" s="0" t="n">
        <v>70</v>
      </c>
      <c r="D527" s="0" t="n">
        <v>2012</v>
      </c>
      <c r="E527" s="0" t="n">
        <v>2024</v>
      </c>
      <c r="F527" s="1" t="s">
        <v>19</v>
      </c>
      <c r="G527" s="0" t="n">
        <v>100000000</v>
      </c>
      <c r="H527" s="0" t="n">
        <f aca="false">LN(G527/C527)</f>
        <v>14.172185501903</v>
      </c>
      <c r="I527" s="0" t="n">
        <f aca="false">B527</f>
        <v>6</v>
      </c>
      <c r="J527" s="0" t="n">
        <f aca="false">E527-D527</f>
        <v>12</v>
      </c>
      <c r="K527" s="0" t="n">
        <f aca="false">C527</f>
        <v>70</v>
      </c>
      <c r="L527" s="0" t="n">
        <f aca="false">IF(F527="改装済み",1,0)</f>
        <v>0</v>
      </c>
      <c r="M527" s="0" t="n">
        <f aca="false">IF(A527="池尻大橋",1,0)</f>
        <v>0</v>
      </c>
      <c r="N527" s="0" t="n">
        <f aca="false">IF(A527="三軒茶屋",1,0)</f>
        <v>0</v>
      </c>
      <c r="O527" s="0" t="n">
        <f aca="false">IF(A527="駒沢大学",1,0)</f>
        <v>0</v>
      </c>
      <c r="P527" s="0" t="n">
        <f aca="false">IF(A527="桜新町",1,0)</f>
        <v>0</v>
      </c>
      <c r="Q527" s="0" t="n">
        <f aca="false">IF(A527="二子玉川",1,0)</f>
        <v>0</v>
      </c>
      <c r="R527" s="0" t="n">
        <f aca="false">IF(E527=2021,1,0)</f>
        <v>0</v>
      </c>
      <c r="S527" s="0" t="n">
        <f aca="false">IF(E527=2022,1,0)</f>
        <v>0</v>
      </c>
      <c r="T527" s="0" t="n">
        <f aca="false">IF(E527=2023,1,0)</f>
        <v>0</v>
      </c>
      <c r="U527" s="0" t="n">
        <f aca="false">IF(E527=2024,1,0)</f>
        <v>1</v>
      </c>
    </row>
    <row r="528" customFormat="false" ht="15" hidden="false" customHeight="false" outlineLevel="0" collapsed="false">
      <c r="A528" s="1" t="s">
        <v>20</v>
      </c>
      <c r="B528" s="0" t="n">
        <v>1</v>
      </c>
      <c r="C528" s="0" t="n">
        <v>75</v>
      </c>
      <c r="D528" s="0" t="n">
        <v>1995</v>
      </c>
      <c r="E528" s="0" t="n">
        <v>2024</v>
      </c>
      <c r="F528" s="1" t="s">
        <v>19</v>
      </c>
      <c r="G528" s="0" t="n">
        <v>74000000</v>
      </c>
      <c r="H528" s="0" t="n">
        <f aca="false">LN(G528/C528)</f>
        <v>13.8020875376321</v>
      </c>
      <c r="I528" s="0" t="n">
        <f aca="false">B528</f>
        <v>1</v>
      </c>
      <c r="J528" s="0" t="n">
        <f aca="false">E528-D528</f>
        <v>29</v>
      </c>
      <c r="K528" s="0" t="n">
        <f aca="false">C528</f>
        <v>75</v>
      </c>
      <c r="L528" s="0" t="n">
        <f aca="false">IF(F528="改装済み",1,0)</f>
        <v>0</v>
      </c>
      <c r="M528" s="0" t="n">
        <f aca="false">IF(A528="池尻大橋",1,0)</f>
        <v>0</v>
      </c>
      <c r="N528" s="0" t="n">
        <f aca="false">IF(A528="三軒茶屋",1,0)</f>
        <v>0</v>
      </c>
      <c r="O528" s="0" t="n">
        <f aca="false">IF(A528="駒沢大学",1,0)</f>
        <v>0</v>
      </c>
      <c r="P528" s="0" t="n">
        <f aca="false">IF(A528="桜新町",1,0)</f>
        <v>0</v>
      </c>
      <c r="Q528" s="0" t="n">
        <f aca="false">IF(A528="二子玉川",1,0)</f>
        <v>0</v>
      </c>
      <c r="R528" s="0" t="n">
        <f aca="false">IF(E528=2021,1,0)</f>
        <v>0</v>
      </c>
      <c r="S528" s="0" t="n">
        <f aca="false">IF(E528=2022,1,0)</f>
        <v>0</v>
      </c>
      <c r="T528" s="0" t="n">
        <f aca="false">IF(E528=2023,1,0)</f>
        <v>0</v>
      </c>
      <c r="U528" s="0" t="n">
        <f aca="false">IF(E528=2024,1,0)</f>
        <v>1</v>
      </c>
    </row>
    <row r="529" customFormat="false" ht="15" hidden="false" customHeight="false" outlineLevel="0" collapsed="false">
      <c r="A529" s="1" t="s">
        <v>20</v>
      </c>
      <c r="B529" s="0" t="n">
        <v>4</v>
      </c>
      <c r="C529" s="0" t="n">
        <v>95</v>
      </c>
      <c r="D529" s="0" t="n">
        <v>2005</v>
      </c>
      <c r="E529" s="0" t="n">
        <v>2024</v>
      </c>
      <c r="F529" s="1" t="s">
        <v>19</v>
      </c>
      <c r="G529" s="0" t="n">
        <v>130000000</v>
      </c>
      <c r="H529" s="0" t="n">
        <f aca="false">LN(G529/C529)</f>
        <v>14.1291681168193</v>
      </c>
      <c r="I529" s="0" t="n">
        <f aca="false">B529</f>
        <v>4</v>
      </c>
      <c r="J529" s="0" t="n">
        <f aca="false">E529-D529</f>
        <v>19</v>
      </c>
      <c r="K529" s="0" t="n">
        <f aca="false">C529</f>
        <v>95</v>
      </c>
      <c r="L529" s="0" t="n">
        <f aca="false">IF(F529="改装済み",1,0)</f>
        <v>0</v>
      </c>
      <c r="M529" s="0" t="n">
        <f aca="false">IF(A529="池尻大橋",1,0)</f>
        <v>0</v>
      </c>
      <c r="N529" s="0" t="n">
        <f aca="false">IF(A529="三軒茶屋",1,0)</f>
        <v>0</v>
      </c>
      <c r="O529" s="0" t="n">
        <f aca="false">IF(A529="駒沢大学",1,0)</f>
        <v>0</v>
      </c>
      <c r="P529" s="0" t="n">
        <f aca="false">IF(A529="桜新町",1,0)</f>
        <v>0</v>
      </c>
      <c r="Q529" s="0" t="n">
        <f aca="false">IF(A529="二子玉川",1,0)</f>
        <v>0</v>
      </c>
      <c r="R529" s="0" t="n">
        <f aca="false">IF(E529=2021,1,0)</f>
        <v>0</v>
      </c>
      <c r="S529" s="0" t="n">
        <f aca="false">IF(E529=2022,1,0)</f>
        <v>0</v>
      </c>
      <c r="T529" s="0" t="n">
        <f aca="false">IF(E529=2023,1,0)</f>
        <v>0</v>
      </c>
      <c r="U529" s="0" t="n">
        <f aca="false">IF(E529=2024,1,0)</f>
        <v>1</v>
      </c>
    </row>
    <row r="530" customFormat="false" ht="15" hidden="false" customHeight="false" outlineLevel="0" collapsed="false">
      <c r="A530" s="1" t="s">
        <v>20</v>
      </c>
      <c r="B530" s="0" t="n">
        <v>9</v>
      </c>
      <c r="C530" s="0" t="n">
        <v>65</v>
      </c>
      <c r="D530" s="0" t="n">
        <v>2005</v>
      </c>
      <c r="E530" s="0" t="n">
        <v>2024</v>
      </c>
      <c r="F530" s="1" t="s">
        <v>19</v>
      </c>
      <c r="G530" s="0" t="n">
        <v>83000000</v>
      </c>
      <c r="H530" s="0" t="n">
        <f aca="false">LN(G530/C530)</f>
        <v>14.0599638958652</v>
      </c>
      <c r="I530" s="0" t="n">
        <f aca="false">B530</f>
        <v>9</v>
      </c>
      <c r="J530" s="0" t="n">
        <f aca="false">E530-D530</f>
        <v>19</v>
      </c>
      <c r="K530" s="0" t="n">
        <f aca="false">C530</f>
        <v>65</v>
      </c>
      <c r="L530" s="0" t="n">
        <f aca="false">IF(F530="改装済み",1,0)</f>
        <v>0</v>
      </c>
      <c r="M530" s="0" t="n">
        <f aca="false">IF(A530="池尻大橋",1,0)</f>
        <v>0</v>
      </c>
      <c r="N530" s="0" t="n">
        <f aca="false">IF(A530="三軒茶屋",1,0)</f>
        <v>0</v>
      </c>
      <c r="O530" s="0" t="n">
        <f aca="false">IF(A530="駒沢大学",1,0)</f>
        <v>0</v>
      </c>
      <c r="P530" s="0" t="n">
        <f aca="false">IF(A530="桜新町",1,0)</f>
        <v>0</v>
      </c>
      <c r="Q530" s="0" t="n">
        <f aca="false">IF(A530="二子玉川",1,0)</f>
        <v>0</v>
      </c>
      <c r="R530" s="0" t="n">
        <f aca="false">IF(E530=2021,1,0)</f>
        <v>0</v>
      </c>
      <c r="S530" s="0" t="n">
        <f aca="false">IF(E530=2022,1,0)</f>
        <v>0</v>
      </c>
      <c r="T530" s="0" t="n">
        <f aca="false">IF(E530=2023,1,0)</f>
        <v>0</v>
      </c>
      <c r="U530" s="0" t="n">
        <f aca="false">IF(E530=2024,1,0)</f>
        <v>1</v>
      </c>
    </row>
    <row r="531" customFormat="false" ht="15" hidden="false" customHeight="false" outlineLevel="0" collapsed="false">
      <c r="A531" s="1" t="s">
        <v>20</v>
      </c>
      <c r="B531" s="0" t="n">
        <v>6</v>
      </c>
      <c r="C531" s="0" t="n">
        <v>65</v>
      </c>
      <c r="D531" s="0" t="n">
        <v>2012</v>
      </c>
      <c r="E531" s="0" t="n">
        <v>2023</v>
      </c>
      <c r="F531" s="1" t="s">
        <v>19</v>
      </c>
      <c r="G531" s="0" t="n">
        <v>90000000</v>
      </c>
      <c r="H531" s="0" t="n">
        <f aca="false">LN(G531/C531)</f>
        <v>14.1409329583989</v>
      </c>
      <c r="I531" s="0" t="n">
        <f aca="false">B531</f>
        <v>6</v>
      </c>
      <c r="J531" s="0" t="n">
        <f aca="false">E531-D531</f>
        <v>11</v>
      </c>
      <c r="K531" s="0" t="n">
        <f aca="false">C531</f>
        <v>65</v>
      </c>
      <c r="L531" s="0" t="n">
        <f aca="false">IF(F531="改装済み",1,0)</f>
        <v>0</v>
      </c>
      <c r="M531" s="0" t="n">
        <f aca="false">IF(A531="池尻大橋",1,0)</f>
        <v>0</v>
      </c>
      <c r="N531" s="0" t="n">
        <f aca="false">IF(A531="三軒茶屋",1,0)</f>
        <v>0</v>
      </c>
      <c r="O531" s="0" t="n">
        <f aca="false">IF(A531="駒沢大学",1,0)</f>
        <v>0</v>
      </c>
      <c r="P531" s="0" t="n">
        <f aca="false">IF(A531="桜新町",1,0)</f>
        <v>0</v>
      </c>
      <c r="Q531" s="0" t="n">
        <f aca="false">IF(A531="二子玉川",1,0)</f>
        <v>0</v>
      </c>
      <c r="R531" s="0" t="n">
        <f aca="false">IF(E531=2021,1,0)</f>
        <v>0</v>
      </c>
      <c r="S531" s="0" t="n">
        <f aca="false">IF(E531=2022,1,0)</f>
        <v>0</v>
      </c>
      <c r="T531" s="0" t="n">
        <f aca="false">IF(E531=2023,1,0)</f>
        <v>1</v>
      </c>
      <c r="U531" s="0" t="n">
        <f aca="false">IF(E531=2024,1,0)</f>
        <v>0</v>
      </c>
    </row>
    <row r="532" customFormat="false" ht="15" hidden="false" customHeight="false" outlineLevel="0" collapsed="false">
      <c r="A532" s="1" t="s">
        <v>20</v>
      </c>
      <c r="B532" s="0" t="n">
        <v>9</v>
      </c>
      <c r="C532" s="0" t="n">
        <v>65</v>
      </c>
      <c r="D532" s="0" t="n">
        <v>2005</v>
      </c>
      <c r="E532" s="0" t="n">
        <v>2023</v>
      </c>
      <c r="F532" s="1" t="s">
        <v>19</v>
      </c>
      <c r="G532" s="0" t="n">
        <v>87000000</v>
      </c>
      <c r="H532" s="0" t="n">
        <f aca="false">LN(G532/C532)</f>
        <v>14.1070314067232</v>
      </c>
      <c r="I532" s="0" t="n">
        <f aca="false">B532</f>
        <v>9</v>
      </c>
      <c r="J532" s="0" t="n">
        <f aca="false">E532-D532</f>
        <v>18</v>
      </c>
      <c r="K532" s="0" t="n">
        <f aca="false">C532</f>
        <v>65</v>
      </c>
      <c r="L532" s="0" t="n">
        <f aca="false">IF(F532="改装済み",1,0)</f>
        <v>0</v>
      </c>
      <c r="M532" s="0" t="n">
        <f aca="false">IF(A532="池尻大橋",1,0)</f>
        <v>0</v>
      </c>
      <c r="N532" s="0" t="n">
        <f aca="false">IF(A532="三軒茶屋",1,0)</f>
        <v>0</v>
      </c>
      <c r="O532" s="0" t="n">
        <f aca="false">IF(A532="駒沢大学",1,0)</f>
        <v>0</v>
      </c>
      <c r="P532" s="0" t="n">
        <f aca="false">IF(A532="桜新町",1,0)</f>
        <v>0</v>
      </c>
      <c r="Q532" s="0" t="n">
        <f aca="false">IF(A532="二子玉川",1,0)</f>
        <v>0</v>
      </c>
      <c r="R532" s="0" t="n">
        <f aca="false">IF(E532=2021,1,0)</f>
        <v>0</v>
      </c>
      <c r="S532" s="0" t="n">
        <f aca="false">IF(E532=2022,1,0)</f>
        <v>0</v>
      </c>
      <c r="T532" s="0" t="n">
        <f aca="false">IF(E532=2023,1,0)</f>
        <v>1</v>
      </c>
      <c r="U532" s="0" t="n">
        <f aca="false">IF(E532=2024,1,0)</f>
        <v>0</v>
      </c>
    </row>
    <row r="533" customFormat="false" ht="15" hidden="false" customHeight="false" outlineLevel="0" collapsed="false">
      <c r="A533" s="1" t="s">
        <v>20</v>
      </c>
      <c r="B533" s="0" t="n">
        <v>10</v>
      </c>
      <c r="C533" s="0" t="n">
        <v>60</v>
      </c>
      <c r="D533" s="0" t="n">
        <v>1995</v>
      </c>
      <c r="E533" s="0" t="n">
        <v>2023</v>
      </c>
      <c r="F533" s="1" t="s">
        <v>18</v>
      </c>
      <c r="G533" s="0" t="n">
        <v>74000000</v>
      </c>
      <c r="H533" s="0" t="n">
        <f aca="false">LN(G533/C533)</f>
        <v>14.0252310889463</v>
      </c>
      <c r="I533" s="0" t="n">
        <f aca="false">B533</f>
        <v>10</v>
      </c>
      <c r="J533" s="0" t="n">
        <f aca="false">E533-D533</f>
        <v>28</v>
      </c>
      <c r="K533" s="0" t="n">
        <f aca="false">C533</f>
        <v>60</v>
      </c>
      <c r="L533" s="0" t="n">
        <f aca="false">IF(F533="改装済み",1,0)</f>
        <v>1</v>
      </c>
      <c r="M533" s="0" t="n">
        <f aca="false">IF(A533="池尻大橋",1,0)</f>
        <v>0</v>
      </c>
      <c r="N533" s="0" t="n">
        <f aca="false">IF(A533="三軒茶屋",1,0)</f>
        <v>0</v>
      </c>
      <c r="O533" s="0" t="n">
        <f aca="false">IF(A533="駒沢大学",1,0)</f>
        <v>0</v>
      </c>
      <c r="P533" s="0" t="n">
        <f aca="false">IF(A533="桜新町",1,0)</f>
        <v>0</v>
      </c>
      <c r="Q533" s="0" t="n">
        <f aca="false">IF(A533="二子玉川",1,0)</f>
        <v>0</v>
      </c>
      <c r="R533" s="0" t="n">
        <f aca="false">IF(E533=2021,1,0)</f>
        <v>0</v>
      </c>
      <c r="S533" s="0" t="n">
        <f aca="false">IF(E533=2022,1,0)</f>
        <v>0</v>
      </c>
      <c r="T533" s="0" t="n">
        <f aca="false">IF(E533=2023,1,0)</f>
        <v>1</v>
      </c>
      <c r="U533" s="0" t="n">
        <f aca="false">IF(E533=2024,1,0)</f>
        <v>0</v>
      </c>
    </row>
    <row r="534" customFormat="false" ht="15" hidden="false" customHeight="false" outlineLevel="0" collapsed="false">
      <c r="A534" s="1" t="s">
        <v>20</v>
      </c>
      <c r="B534" s="0" t="n">
        <v>9</v>
      </c>
      <c r="C534" s="0" t="n">
        <v>50</v>
      </c>
      <c r="D534" s="0" t="n">
        <v>1984</v>
      </c>
      <c r="E534" s="0" t="n">
        <v>2023</v>
      </c>
      <c r="F534" s="1" t="s">
        <v>18</v>
      </c>
      <c r="G534" s="0" t="n">
        <v>50000000</v>
      </c>
      <c r="H534" s="0" t="n">
        <f aca="false">LN(G534/C534)</f>
        <v>13.8155105579643</v>
      </c>
      <c r="I534" s="0" t="n">
        <f aca="false">B534</f>
        <v>9</v>
      </c>
      <c r="J534" s="0" t="n">
        <f aca="false">E534-D534</f>
        <v>39</v>
      </c>
      <c r="K534" s="0" t="n">
        <f aca="false">C534</f>
        <v>50</v>
      </c>
      <c r="L534" s="0" t="n">
        <f aca="false">IF(F534="改装済み",1,0)</f>
        <v>1</v>
      </c>
      <c r="M534" s="0" t="n">
        <f aca="false">IF(A534="池尻大橋",1,0)</f>
        <v>0</v>
      </c>
      <c r="N534" s="0" t="n">
        <f aca="false">IF(A534="三軒茶屋",1,0)</f>
        <v>0</v>
      </c>
      <c r="O534" s="0" t="n">
        <f aca="false">IF(A534="駒沢大学",1,0)</f>
        <v>0</v>
      </c>
      <c r="P534" s="0" t="n">
        <f aca="false">IF(A534="桜新町",1,0)</f>
        <v>0</v>
      </c>
      <c r="Q534" s="0" t="n">
        <f aca="false">IF(A534="二子玉川",1,0)</f>
        <v>0</v>
      </c>
      <c r="R534" s="0" t="n">
        <f aca="false">IF(E534=2021,1,0)</f>
        <v>0</v>
      </c>
      <c r="S534" s="0" t="n">
        <f aca="false">IF(E534=2022,1,0)</f>
        <v>0</v>
      </c>
      <c r="T534" s="0" t="n">
        <f aca="false">IF(E534=2023,1,0)</f>
        <v>1</v>
      </c>
      <c r="U534" s="0" t="n">
        <f aca="false">IF(E534=2024,1,0)</f>
        <v>0</v>
      </c>
    </row>
    <row r="535" customFormat="false" ht="15" hidden="false" customHeight="false" outlineLevel="0" collapsed="false">
      <c r="A535" s="1" t="s">
        <v>20</v>
      </c>
      <c r="B535" s="0" t="n">
        <v>7</v>
      </c>
      <c r="C535" s="0" t="n">
        <v>70</v>
      </c>
      <c r="D535" s="0" t="n">
        <v>2001</v>
      </c>
      <c r="E535" s="0" t="n">
        <v>2023</v>
      </c>
      <c r="F535" s="1" t="s">
        <v>19</v>
      </c>
      <c r="G535" s="0" t="n">
        <v>82000000</v>
      </c>
      <c r="H535" s="0" t="n">
        <f aca="false">LN(G535/C535)</f>
        <v>13.9737345631792</v>
      </c>
      <c r="I535" s="0" t="n">
        <f aca="false">B535</f>
        <v>7</v>
      </c>
      <c r="J535" s="0" t="n">
        <f aca="false">E535-D535</f>
        <v>22</v>
      </c>
      <c r="K535" s="0" t="n">
        <f aca="false">C535</f>
        <v>70</v>
      </c>
      <c r="L535" s="0" t="n">
        <f aca="false">IF(F535="改装済み",1,0)</f>
        <v>0</v>
      </c>
      <c r="M535" s="0" t="n">
        <f aca="false">IF(A535="池尻大橋",1,0)</f>
        <v>0</v>
      </c>
      <c r="N535" s="0" t="n">
        <f aca="false">IF(A535="三軒茶屋",1,0)</f>
        <v>0</v>
      </c>
      <c r="O535" s="0" t="n">
        <f aca="false">IF(A535="駒沢大学",1,0)</f>
        <v>0</v>
      </c>
      <c r="P535" s="0" t="n">
        <f aca="false">IF(A535="桜新町",1,0)</f>
        <v>0</v>
      </c>
      <c r="Q535" s="0" t="n">
        <f aca="false">IF(A535="二子玉川",1,0)</f>
        <v>0</v>
      </c>
      <c r="R535" s="0" t="n">
        <f aca="false">IF(E535=2021,1,0)</f>
        <v>0</v>
      </c>
      <c r="S535" s="0" t="n">
        <f aca="false">IF(E535=2022,1,0)</f>
        <v>0</v>
      </c>
      <c r="T535" s="0" t="n">
        <f aca="false">IF(E535=2023,1,0)</f>
        <v>1</v>
      </c>
      <c r="U535" s="0" t="n">
        <f aca="false">IF(E535=2024,1,0)</f>
        <v>0</v>
      </c>
    </row>
    <row r="536" customFormat="false" ht="15" hidden="false" customHeight="false" outlineLevel="0" collapsed="false">
      <c r="A536" s="1" t="s">
        <v>20</v>
      </c>
      <c r="B536" s="0" t="n">
        <v>6</v>
      </c>
      <c r="C536" s="0" t="n">
        <v>70</v>
      </c>
      <c r="D536" s="0" t="n">
        <v>2012</v>
      </c>
      <c r="E536" s="0" t="n">
        <v>2023</v>
      </c>
      <c r="F536" s="1" t="s">
        <v>19</v>
      </c>
      <c r="G536" s="0" t="n">
        <v>100000000</v>
      </c>
      <c r="H536" s="0" t="n">
        <f aca="false">LN(G536/C536)</f>
        <v>14.172185501903</v>
      </c>
      <c r="I536" s="0" t="n">
        <f aca="false">B536</f>
        <v>6</v>
      </c>
      <c r="J536" s="0" t="n">
        <f aca="false">E536-D536</f>
        <v>11</v>
      </c>
      <c r="K536" s="0" t="n">
        <f aca="false">C536</f>
        <v>70</v>
      </c>
      <c r="L536" s="0" t="n">
        <f aca="false">IF(F536="改装済み",1,0)</f>
        <v>0</v>
      </c>
      <c r="M536" s="0" t="n">
        <f aca="false">IF(A536="池尻大橋",1,0)</f>
        <v>0</v>
      </c>
      <c r="N536" s="0" t="n">
        <f aca="false">IF(A536="三軒茶屋",1,0)</f>
        <v>0</v>
      </c>
      <c r="O536" s="0" t="n">
        <f aca="false">IF(A536="駒沢大学",1,0)</f>
        <v>0</v>
      </c>
      <c r="P536" s="0" t="n">
        <f aca="false">IF(A536="桜新町",1,0)</f>
        <v>0</v>
      </c>
      <c r="Q536" s="0" t="n">
        <f aca="false">IF(A536="二子玉川",1,0)</f>
        <v>0</v>
      </c>
      <c r="R536" s="0" t="n">
        <f aca="false">IF(E536=2021,1,0)</f>
        <v>0</v>
      </c>
      <c r="S536" s="0" t="n">
        <f aca="false">IF(E536=2022,1,0)</f>
        <v>0</v>
      </c>
      <c r="T536" s="0" t="n">
        <f aca="false">IF(E536=2023,1,0)</f>
        <v>1</v>
      </c>
      <c r="U536" s="0" t="n">
        <f aca="false">IF(E536=2024,1,0)</f>
        <v>0</v>
      </c>
    </row>
    <row r="537" customFormat="false" ht="15" hidden="false" customHeight="false" outlineLevel="0" collapsed="false">
      <c r="A537" s="1" t="s">
        <v>20</v>
      </c>
      <c r="B537" s="0" t="n">
        <v>9</v>
      </c>
      <c r="C537" s="0" t="n">
        <v>75</v>
      </c>
      <c r="D537" s="0" t="n">
        <v>2000</v>
      </c>
      <c r="E537" s="0" t="n">
        <v>2023</v>
      </c>
      <c r="F537" s="1" t="s">
        <v>19</v>
      </c>
      <c r="G537" s="0" t="n">
        <v>80000000</v>
      </c>
      <c r="H537" s="0" t="n">
        <f aca="false">LN(G537/C537)</f>
        <v>13.8800490791018</v>
      </c>
      <c r="I537" s="0" t="n">
        <f aca="false">B537</f>
        <v>9</v>
      </c>
      <c r="J537" s="0" t="n">
        <f aca="false">E537-D537</f>
        <v>23</v>
      </c>
      <c r="K537" s="0" t="n">
        <f aca="false">C537</f>
        <v>75</v>
      </c>
      <c r="L537" s="0" t="n">
        <f aca="false">IF(F537="改装済み",1,0)</f>
        <v>0</v>
      </c>
      <c r="M537" s="0" t="n">
        <f aca="false">IF(A537="池尻大橋",1,0)</f>
        <v>0</v>
      </c>
      <c r="N537" s="0" t="n">
        <f aca="false">IF(A537="三軒茶屋",1,0)</f>
        <v>0</v>
      </c>
      <c r="O537" s="0" t="n">
        <f aca="false">IF(A537="駒沢大学",1,0)</f>
        <v>0</v>
      </c>
      <c r="P537" s="0" t="n">
        <f aca="false">IF(A537="桜新町",1,0)</f>
        <v>0</v>
      </c>
      <c r="Q537" s="0" t="n">
        <f aca="false">IF(A537="二子玉川",1,0)</f>
        <v>0</v>
      </c>
      <c r="R537" s="0" t="n">
        <f aca="false">IF(E537=2021,1,0)</f>
        <v>0</v>
      </c>
      <c r="S537" s="0" t="n">
        <f aca="false">IF(E537=2022,1,0)</f>
        <v>0</v>
      </c>
      <c r="T537" s="0" t="n">
        <f aca="false">IF(E537=2023,1,0)</f>
        <v>1</v>
      </c>
      <c r="U537" s="0" t="n">
        <f aca="false">IF(E537=2024,1,0)</f>
        <v>0</v>
      </c>
    </row>
    <row r="538" customFormat="false" ht="15" hidden="false" customHeight="false" outlineLevel="0" collapsed="false">
      <c r="A538" s="1" t="s">
        <v>20</v>
      </c>
      <c r="B538" s="0" t="n">
        <v>6</v>
      </c>
      <c r="C538" s="0" t="n">
        <v>60</v>
      </c>
      <c r="D538" s="0" t="n">
        <v>1999</v>
      </c>
      <c r="E538" s="0" t="n">
        <v>2023</v>
      </c>
      <c r="F538" s="1" t="s">
        <v>18</v>
      </c>
      <c r="G538" s="0" t="n">
        <v>65000000</v>
      </c>
      <c r="H538" s="0" t="n">
        <f aca="false">LN(G538/C538)</f>
        <v>13.8955532656378</v>
      </c>
      <c r="I538" s="0" t="n">
        <f aca="false">B538</f>
        <v>6</v>
      </c>
      <c r="J538" s="0" t="n">
        <f aca="false">E538-D538</f>
        <v>24</v>
      </c>
      <c r="K538" s="0" t="n">
        <f aca="false">C538</f>
        <v>60</v>
      </c>
      <c r="L538" s="0" t="n">
        <f aca="false">IF(F538="改装済み",1,0)</f>
        <v>1</v>
      </c>
      <c r="M538" s="0" t="n">
        <f aca="false">IF(A538="池尻大橋",1,0)</f>
        <v>0</v>
      </c>
      <c r="N538" s="0" t="n">
        <f aca="false">IF(A538="三軒茶屋",1,0)</f>
        <v>0</v>
      </c>
      <c r="O538" s="0" t="n">
        <f aca="false">IF(A538="駒沢大学",1,0)</f>
        <v>0</v>
      </c>
      <c r="P538" s="0" t="n">
        <f aca="false">IF(A538="桜新町",1,0)</f>
        <v>0</v>
      </c>
      <c r="Q538" s="0" t="n">
        <f aca="false">IF(A538="二子玉川",1,0)</f>
        <v>0</v>
      </c>
      <c r="R538" s="0" t="n">
        <f aca="false">IF(E538=2021,1,0)</f>
        <v>0</v>
      </c>
      <c r="S538" s="0" t="n">
        <f aca="false">IF(E538=2022,1,0)</f>
        <v>0</v>
      </c>
      <c r="T538" s="0" t="n">
        <f aca="false">IF(E538=2023,1,0)</f>
        <v>1</v>
      </c>
      <c r="U538" s="0" t="n">
        <f aca="false">IF(E538=2024,1,0)</f>
        <v>0</v>
      </c>
    </row>
    <row r="539" customFormat="false" ht="15" hidden="false" customHeight="false" outlineLevel="0" collapsed="false">
      <c r="A539" s="1" t="s">
        <v>20</v>
      </c>
      <c r="B539" s="0" t="n">
        <v>6</v>
      </c>
      <c r="C539" s="0" t="n">
        <v>65</v>
      </c>
      <c r="D539" s="0" t="n">
        <v>2012</v>
      </c>
      <c r="E539" s="0" t="n">
        <v>2023</v>
      </c>
      <c r="F539" s="1" t="s">
        <v>18</v>
      </c>
      <c r="G539" s="0" t="n">
        <v>92000000</v>
      </c>
      <c r="H539" s="0" t="n">
        <f aca="false">LN(G539/C539)</f>
        <v>14.1629118651177</v>
      </c>
      <c r="I539" s="0" t="n">
        <f aca="false">B539</f>
        <v>6</v>
      </c>
      <c r="J539" s="0" t="n">
        <f aca="false">E539-D539</f>
        <v>11</v>
      </c>
      <c r="K539" s="0" t="n">
        <f aca="false">C539</f>
        <v>65</v>
      </c>
      <c r="L539" s="0" t="n">
        <f aca="false">IF(F539="改装済み",1,0)</f>
        <v>1</v>
      </c>
      <c r="M539" s="0" t="n">
        <f aca="false">IF(A539="池尻大橋",1,0)</f>
        <v>0</v>
      </c>
      <c r="N539" s="0" t="n">
        <f aca="false">IF(A539="三軒茶屋",1,0)</f>
        <v>0</v>
      </c>
      <c r="O539" s="0" t="n">
        <f aca="false">IF(A539="駒沢大学",1,0)</f>
        <v>0</v>
      </c>
      <c r="P539" s="0" t="n">
        <f aca="false">IF(A539="桜新町",1,0)</f>
        <v>0</v>
      </c>
      <c r="Q539" s="0" t="n">
        <f aca="false">IF(A539="二子玉川",1,0)</f>
        <v>0</v>
      </c>
      <c r="R539" s="0" t="n">
        <f aca="false">IF(E539=2021,1,0)</f>
        <v>0</v>
      </c>
      <c r="S539" s="0" t="n">
        <f aca="false">IF(E539=2022,1,0)</f>
        <v>0</v>
      </c>
      <c r="T539" s="0" t="n">
        <f aca="false">IF(E539=2023,1,0)</f>
        <v>1</v>
      </c>
      <c r="U539" s="0" t="n">
        <f aca="false">IF(E539=2024,1,0)</f>
        <v>0</v>
      </c>
    </row>
    <row r="540" customFormat="false" ht="15" hidden="false" customHeight="false" outlineLevel="0" collapsed="false">
      <c r="A540" s="1" t="s">
        <v>20</v>
      </c>
      <c r="B540" s="0" t="n">
        <v>9</v>
      </c>
      <c r="C540" s="0" t="n">
        <v>75</v>
      </c>
      <c r="D540" s="0" t="n">
        <v>2005</v>
      </c>
      <c r="E540" s="0" t="n">
        <v>2023</v>
      </c>
      <c r="F540" s="1" t="s">
        <v>19</v>
      </c>
      <c r="G540" s="0" t="n">
        <v>96000000</v>
      </c>
      <c r="H540" s="0" t="n">
        <f aca="false">LN(G540/C540)</f>
        <v>14.0623706358958</v>
      </c>
      <c r="I540" s="0" t="n">
        <f aca="false">B540</f>
        <v>9</v>
      </c>
      <c r="J540" s="0" t="n">
        <f aca="false">E540-D540</f>
        <v>18</v>
      </c>
      <c r="K540" s="0" t="n">
        <f aca="false">C540</f>
        <v>75</v>
      </c>
      <c r="L540" s="0" t="n">
        <f aca="false">IF(F540="改装済み",1,0)</f>
        <v>0</v>
      </c>
      <c r="M540" s="0" t="n">
        <f aca="false">IF(A540="池尻大橋",1,0)</f>
        <v>0</v>
      </c>
      <c r="N540" s="0" t="n">
        <f aca="false">IF(A540="三軒茶屋",1,0)</f>
        <v>0</v>
      </c>
      <c r="O540" s="0" t="n">
        <f aca="false">IF(A540="駒沢大学",1,0)</f>
        <v>0</v>
      </c>
      <c r="P540" s="0" t="n">
        <f aca="false">IF(A540="桜新町",1,0)</f>
        <v>0</v>
      </c>
      <c r="Q540" s="0" t="n">
        <f aca="false">IF(A540="二子玉川",1,0)</f>
        <v>0</v>
      </c>
      <c r="R540" s="0" t="n">
        <f aca="false">IF(E540=2021,1,0)</f>
        <v>0</v>
      </c>
      <c r="S540" s="0" t="n">
        <f aca="false">IF(E540=2022,1,0)</f>
        <v>0</v>
      </c>
      <c r="T540" s="0" t="n">
        <f aca="false">IF(E540=2023,1,0)</f>
        <v>1</v>
      </c>
      <c r="U540" s="0" t="n">
        <f aca="false">IF(E540=2024,1,0)</f>
        <v>0</v>
      </c>
    </row>
    <row r="541" customFormat="false" ht="15" hidden="false" customHeight="false" outlineLevel="0" collapsed="false">
      <c r="A541" s="1" t="s">
        <v>20</v>
      </c>
      <c r="B541" s="0" t="n">
        <v>9</v>
      </c>
      <c r="C541" s="0" t="n">
        <v>85</v>
      </c>
      <c r="D541" s="0" t="n">
        <v>2005</v>
      </c>
      <c r="E541" s="0" t="n">
        <v>2023</v>
      </c>
      <c r="F541" s="1" t="s">
        <v>19</v>
      </c>
      <c r="G541" s="0" t="n">
        <v>100000000</v>
      </c>
      <c r="H541" s="0" t="n">
        <f aca="false">LN(G541/C541)</f>
        <v>13.978029487462</v>
      </c>
      <c r="I541" s="0" t="n">
        <f aca="false">B541</f>
        <v>9</v>
      </c>
      <c r="J541" s="0" t="n">
        <f aca="false">E541-D541</f>
        <v>18</v>
      </c>
      <c r="K541" s="0" t="n">
        <f aca="false">C541</f>
        <v>85</v>
      </c>
      <c r="L541" s="0" t="n">
        <f aca="false">IF(F541="改装済み",1,0)</f>
        <v>0</v>
      </c>
      <c r="M541" s="0" t="n">
        <f aca="false">IF(A541="池尻大橋",1,0)</f>
        <v>0</v>
      </c>
      <c r="N541" s="0" t="n">
        <f aca="false">IF(A541="三軒茶屋",1,0)</f>
        <v>0</v>
      </c>
      <c r="O541" s="0" t="n">
        <f aca="false">IF(A541="駒沢大学",1,0)</f>
        <v>0</v>
      </c>
      <c r="P541" s="0" t="n">
        <f aca="false">IF(A541="桜新町",1,0)</f>
        <v>0</v>
      </c>
      <c r="Q541" s="0" t="n">
        <f aca="false">IF(A541="二子玉川",1,0)</f>
        <v>0</v>
      </c>
      <c r="R541" s="0" t="n">
        <f aca="false">IF(E541=2021,1,0)</f>
        <v>0</v>
      </c>
      <c r="S541" s="0" t="n">
        <f aca="false">IF(E541=2022,1,0)</f>
        <v>0</v>
      </c>
      <c r="T541" s="0" t="n">
        <f aca="false">IF(E541=2023,1,0)</f>
        <v>1</v>
      </c>
      <c r="U541" s="0" t="n">
        <f aca="false">IF(E541=2024,1,0)</f>
        <v>0</v>
      </c>
    </row>
    <row r="542" customFormat="false" ht="15" hidden="false" customHeight="false" outlineLevel="0" collapsed="false">
      <c r="A542" s="1" t="s">
        <v>20</v>
      </c>
      <c r="B542" s="0" t="n">
        <v>5</v>
      </c>
      <c r="C542" s="0" t="n">
        <v>55</v>
      </c>
      <c r="D542" s="0" t="n">
        <v>2004</v>
      </c>
      <c r="E542" s="0" t="n">
        <v>2023</v>
      </c>
      <c r="F542" s="1" t="s">
        <v>19</v>
      </c>
      <c r="G542" s="0" t="n">
        <v>68000000</v>
      </c>
      <c r="H542" s="0" t="n">
        <f aca="false">LN(G542/C542)</f>
        <v>14.0276850779079</v>
      </c>
      <c r="I542" s="0" t="n">
        <f aca="false">B542</f>
        <v>5</v>
      </c>
      <c r="J542" s="0" t="n">
        <f aca="false">E542-D542</f>
        <v>19</v>
      </c>
      <c r="K542" s="0" t="n">
        <f aca="false">C542</f>
        <v>55</v>
      </c>
      <c r="L542" s="0" t="n">
        <f aca="false">IF(F542="改装済み",1,0)</f>
        <v>0</v>
      </c>
      <c r="M542" s="0" t="n">
        <f aca="false">IF(A542="池尻大橋",1,0)</f>
        <v>0</v>
      </c>
      <c r="N542" s="0" t="n">
        <f aca="false">IF(A542="三軒茶屋",1,0)</f>
        <v>0</v>
      </c>
      <c r="O542" s="0" t="n">
        <f aca="false">IF(A542="駒沢大学",1,0)</f>
        <v>0</v>
      </c>
      <c r="P542" s="0" t="n">
        <f aca="false">IF(A542="桜新町",1,0)</f>
        <v>0</v>
      </c>
      <c r="Q542" s="0" t="n">
        <f aca="false">IF(A542="二子玉川",1,0)</f>
        <v>0</v>
      </c>
      <c r="R542" s="0" t="n">
        <f aca="false">IF(E542=2021,1,0)</f>
        <v>0</v>
      </c>
      <c r="S542" s="0" t="n">
        <f aca="false">IF(E542=2022,1,0)</f>
        <v>0</v>
      </c>
      <c r="T542" s="0" t="n">
        <f aca="false">IF(E542=2023,1,0)</f>
        <v>1</v>
      </c>
      <c r="U542" s="0" t="n">
        <f aca="false">IF(E542=2024,1,0)</f>
        <v>0</v>
      </c>
    </row>
    <row r="543" customFormat="false" ht="15" hidden="false" customHeight="false" outlineLevel="0" collapsed="false">
      <c r="A543" s="1" t="s">
        <v>20</v>
      </c>
      <c r="B543" s="0" t="n">
        <v>3</v>
      </c>
      <c r="C543" s="0" t="n">
        <v>75</v>
      </c>
      <c r="D543" s="0" t="n">
        <v>1985</v>
      </c>
      <c r="E543" s="0" t="n">
        <v>2023</v>
      </c>
      <c r="F543" s="1" t="s">
        <v>18</v>
      </c>
      <c r="G543" s="0" t="n">
        <v>75000000</v>
      </c>
      <c r="H543" s="0" t="n">
        <f aca="false">LN(G543/C543)</f>
        <v>13.8155105579643</v>
      </c>
      <c r="I543" s="0" t="n">
        <f aca="false">B543</f>
        <v>3</v>
      </c>
      <c r="J543" s="0" t="n">
        <f aca="false">E543-D543</f>
        <v>38</v>
      </c>
      <c r="K543" s="0" t="n">
        <f aca="false">C543</f>
        <v>75</v>
      </c>
      <c r="L543" s="0" t="n">
        <f aca="false">IF(F543="改装済み",1,0)</f>
        <v>1</v>
      </c>
      <c r="M543" s="0" t="n">
        <f aca="false">IF(A543="池尻大橋",1,0)</f>
        <v>0</v>
      </c>
      <c r="N543" s="0" t="n">
        <f aca="false">IF(A543="三軒茶屋",1,0)</f>
        <v>0</v>
      </c>
      <c r="O543" s="0" t="n">
        <f aca="false">IF(A543="駒沢大学",1,0)</f>
        <v>0</v>
      </c>
      <c r="P543" s="0" t="n">
        <f aca="false">IF(A543="桜新町",1,0)</f>
        <v>0</v>
      </c>
      <c r="Q543" s="0" t="n">
        <f aca="false">IF(A543="二子玉川",1,0)</f>
        <v>0</v>
      </c>
      <c r="R543" s="0" t="n">
        <f aca="false">IF(E543=2021,1,0)</f>
        <v>0</v>
      </c>
      <c r="S543" s="0" t="n">
        <f aca="false">IF(E543=2022,1,0)</f>
        <v>0</v>
      </c>
      <c r="T543" s="0" t="n">
        <f aca="false">IF(E543=2023,1,0)</f>
        <v>1</v>
      </c>
      <c r="U543" s="0" t="n">
        <f aca="false">IF(E543=2024,1,0)</f>
        <v>0</v>
      </c>
    </row>
    <row r="544" customFormat="false" ht="15" hidden="false" customHeight="false" outlineLevel="0" collapsed="false">
      <c r="A544" s="1" t="s">
        <v>20</v>
      </c>
      <c r="B544" s="0" t="n">
        <v>3</v>
      </c>
      <c r="C544" s="0" t="n">
        <v>75</v>
      </c>
      <c r="D544" s="0" t="n">
        <v>1985</v>
      </c>
      <c r="E544" s="0" t="n">
        <v>2022</v>
      </c>
      <c r="F544" s="1" t="s">
        <v>19</v>
      </c>
      <c r="G544" s="0" t="n">
        <v>67000000</v>
      </c>
      <c r="H544" s="0" t="n">
        <f aca="false">LN(G544/C544)</f>
        <v>13.7027150638189</v>
      </c>
      <c r="I544" s="0" t="n">
        <f aca="false">B544</f>
        <v>3</v>
      </c>
      <c r="J544" s="0" t="n">
        <f aca="false">E544-D544</f>
        <v>37</v>
      </c>
      <c r="K544" s="0" t="n">
        <f aca="false">C544</f>
        <v>75</v>
      </c>
      <c r="L544" s="0" t="n">
        <f aca="false">IF(F544="改装済み",1,0)</f>
        <v>0</v>
      </c>
      <c r="M544" s="0" t="n">
        <f aca="false">IF(A544="池尻大橋",1,0)</f>
        <v>0</v>
      </c>
      <c r="N544" s="0" t="n">
        <f aca="false">IF(A544="三軒茶屋",1,0)</f>
        <v>0</v>
      </c>
      <c r="O544" s="0" t="n">
        <f aca="false">IF(A544="駒沢大学",1,0)</f>
        <v>0</v>
      </c>
      <c r="P544" s="0" t="n">
        <f aca="false">IF(A544="桜新町",1,0)</f>
        <v>0</v>
      </c>
      <c r="Q544" s="0" t="n">
        <f aca="false">IF(A544="二子玉川",1,0)</f>
        <v>0</v>
      </c>
      <c r="R544" s="0" t="n">
        <f aca="false">IF(E544=2021,1,0)</f>
        <v>0</v>
      </c>
      <c r="S544" s="0" t="n">
        <f aca="false">IF(E544=2022,1,0)</f>
        <v>1</v>
      </c>
      <c r="T544" s="0" t="n">
        <f aca="false">IF(E544=2023,1,0)</f>
        <v>0</v>
      </c>
      <c r="U544" s="0" t="n">
        <f aca="false">IF(E544=2024,1,0)</f>
        <v>0</v>
      </c>
    </row>
    <row r="545" customFormat="false" ht="15" hidden="false" customHeight="false" outlineLevel="0" collapsed="false">
      <c r="A545" s="1" t="s">
        <v>20</v>
      </c>
      <c r="B545" s="0" t="n">
        <v>8</v>
      </c>
      <c r="C545" s="0" t="n">
        <v>85</v>
      </c>
      <c r="D545" s="0" t="n">
        <v>2005</v>
      </c>
      <c r="E545" s="0" t="n">
        <v>2022</v>
      </c>
      <c r="F545" s="1" t="s">
        <v>19</v>
      </c>
      <c r="G545" s="0" t="n">
        <v>110000000</v>
      </c>
      <c r="H545" s="0" t="n">
        <f aca="false">LN(G545/C545)</f>
        <v>14.0733396672664</v>
      </c>
      <c r="I545" s="0" t="n">
        <f aca="false">B545</f>
        <v>8</v>
      </c>
      <c r="J545" s="0" t="n">
        <f aca="false">E545-D545</f>
        <v>17</v>
      </c>
      <c r="K545" s="0" t="n">
        <f aca="false">C545</f>
        <v>85</v>
      </c>
      <c r="L545" s="0" t="n">
        <f aca="false">IF(F545="改装済み",1,0)</f>
        <v>0</v>
      </c>
      <c r="M545" s="0" t="n">
        <f aca="false">IF(A545="池尻大橋",1,0)</f>
        <v>0</v>
      </c>
      <c r="N545" s="0" t="n">
        <f aca="false">IF(A545="三軒茶屋",1,0)</f>
        <v>0</v>
      </c>
      <c r="O545" s="0" t="n">
        <f aca="false">IF(A545="駒沢大学",1,0)</f>
        <v>0</v>
      </c>
      <c r="P545" s="0" t="n">
        <f aca="false">IF(A545="桜新町",1,0)</f>
        <v>0</v>
      </c>
      <c r="Q545" s="0" t="n">
        <f aca="false">IF(A545="二子玉川",1,0)</f>
        <v>0</v>
      </c>
      <c r="R545" s="0" t="n">
        <f aca="false">IF(E545=2021,1,0)</f>
        <v>0</v>
      </c>
      <c r="S545" s="0" t="n">
        <f aca="false">IF(E545=2022,1,0)</f>
        <v>1</v>
      </c>
      <c r="T545" s="0" t="n">
        <f aca="false">IF(E545=2023,1,0)</f>
        <v>0</v>
      </c>
      <c r="U545" s="0" t="n">
        <f aca="false">IF(E545=2024,1,0)</f>
        <v>0</v>
      </c>
    </row>
    <row r="546" customFormat="false" ht="15" hidden="false" customHeight="false" outlineLevel="0" collapsed="false">
      <c r="A546" s="1" t="s">
        <v>20</v>
      </c>
      <c r="B546" s="0" t="n">
        <v>3</v>
      </c>
      <c r="C546" s="0" t="n">
        <v>75</v>
      </c>
      <c r="D546" s="0" t="n">
        <v>1985</v>
      </c>
      <c r="E546" s="0" t="n">
        <v>2022</v>
      </c>
      <c r="F546" s="1" t="s">
        <v>18</v>
      </c>
      <c r="G546" s="0" t="n">
        <v>80000000</v>
      </c>
      <c r="H546" s="0" t="n">
        <f aca="false">LN(G546/C546)</f>
        <v>13.8800490791018</v>
      </c>
      <c r="I546" s="0" t="n">
        <f aca="false">B546</f>
        <v>3</v>
      </c>
      <c r="J546" s="0" t="n">
        <f aca="false">E546-D546</f>
        <v>37</v>
      </c>
      <c r="K546" s="0" t="n">
        <f aca="false">C546</f>
        <v>75</v>
      </c>
      <c r="L546" s="0" t="n">
        <f aca="false">IF(F546="改装済み",1,0)</f>
        <v>1</v>
      </c>
      <c r="M546" s="0" t="n">
        <f aca="false">IF(A546="池尻大橋",1,0)</f>
        <v>0</v>
      </c>
      <c r="N546" s="0" t="n">
        <f aca="false">IF(A546="三軒茶屋",1,0)</f>
        <v>0</v>
      </c>
      <c r="O546" s="0" t="n">
        <f aca="false">IF(A546="駒沢大学",1,0)</f>
        <v>0</v>
      </c>
      <c r="P546" s="0" t="n">
        <f aca="false">IF(A546="桜新町",1,0)</f>
        <v>0</v>
      </c>
      <c r="Q546" s="0" t="n">
        <f aca="false">IF(A546="二子玉川",1,0)</f>
        <v>0</v>
      </c>
      <c r="R546" s="0" t="n">
        <f aca="false">IF(E546=2021,1,0)</f>
        <v>0</v>
      </c>
      <c r="S546" s="0" t="n">
        <f aca="false">IF(E546=2022,1,0)</f>
        <v>1</v>
      </c>
      <c r="T546" s="0" t="n">
        <f aca="false">IF(E546=2023,1,0)</f>
        <v>0</v>
      </c>
      <c r="U546" s="0" t="n">
        <f aca="false">IF(E546=2024,1,0)</f>
        <v>0</v>
      </c>
    </row>
    <row r="547" customFormat="false" ht="15" hidden="false" customHeight="false" outlineLevel="0" collapsed="false">
      <c r="A547" s="1" t="s">
        <v>20</v>
      </c>
      <c r="B547" s="0" t="n">
        <v>11</v>
      </c>
      <c r="C547" s="0" t="n">
        <v>60</v>
      </c>
      <c r="D547" s="0" t="n">
        <v>2021</v>
      </c>
      <c r="E547" s="0" t="n">
        <v>2022</v>
      </c>
      <c r="F547" s="1" t="s">
        <v>19</v>
      </c>
      <c r="G547" s="0" t="n">
        <v>78000000</v>
      </c>
      <c r="H547" s="0" t="n">
        <f aca="false">LN(G547/C547)</f>
        <v>14.0778748224318</v>
      </c>
      <c r="I547" s="0" t="n">
        <f aca="false">B547</f>
        <v>11</v>
      </c>
      <c r="J547" s="0" t="n">
        <f aca="false">E547-D547</f>
        <v>1</v>
      </c>
      <c r="K547" s="0" t="n">
        <f aca="false">C547</f>
        <v>60</v>
      </c>
      <c r="L547" s="0" t="n">
        <f aca="false">IF(F547="改装済み",1,0)</f>
        <v>0</v>
      </c>
      <c r="M547" s="0" t="n">
        <f aca="false">IF(A547="池尻大橋",1,0)</f>
        <v>0</v>
      </c>
      <c r="N547" s="0" t="n">
        <f aca="false">IF(A547="三軒茶屋",1,0)</f>
        <v>0</v>
      </c>
      <c r="O547" s="0" t="n">
        <f aca="false">IF(A547="駒沢大学",1,0)</f>
        <v>0</v>
      </c>
      <c r="P547" s="0" t="n">
        <f aca="false">IF(A547="桜新町",1,0)</f>
        <v>0</v>
      </c>
      <c r="Q547" s="0" t="n">
        <f aca="false">IF(A547="二子玉川",1,0)</f>
        <v>0</v>
      </c>
      <c r="R547" s="0" t="n">
        <f aca="false">IF(E547=2021,1,0)</f>
        <v>0</v>
      </c>
      <c r="S547" s="0" t="n">
        <f aca="false">IF(E547=2022,1,0)</f>
        <v>1</v>
      </c>
      <c r="T547" s="0" t="n">
        <f aca="false">IF(E547=2023,1,0)</f>
        <v>0</v>
      </c>
      <c r="U547" s="0" t="n">
        <f aca="false">IF(E547=2024,1,0)</f>
        <v>0</v>
      </c>
    </row>
    <row r="548" customFormat="false" ht="15" hidden="false" customHeight="false" outlineLevel="0" collapsed="false">
      <c r="A548" s="1" t="s">
        <v>20</v>
      </c>
      <c r="B548" s="0" t="n">
        <v>5</v>
      </c>
      <c r="C548" s="0" t="n">
        <v>65</v>
      </c>
      <c r="D548" s="0" t="n">
        <v>2015</v>
      </c>
      <c r="E548" s="0" t="n">
        <v>2022</v>
      </c>
      <c r="F548" s="1" t="s">
        <v>18</v>
      </c>
      <c r="G548" s="0" t="n">
        <v>80000000</v>
      </c>
      <c r="H548" s="0" t="n">
        <f aca="false">LN(G548/C548)</f>
        <v>14.0231499227425</v>
      </c>
      <c r="I548" s="0" t="n">
        <f aca="false">B548</f>
        <v>5</v>
      </c>
      <c r="J548" s="0" t="n">
        <f aca="false">E548-D548</f>
        <v>7</v>
      </c>
      <c r="K548" s="0" t="n">
        <f aca="false">C548</f>
        <v>65</v>
      </c>
      <c r="L548" s="0" t="n">
        <f aca="false">IF(F548="改装済み",1,0)</f>
        <v>1</v>
      </c>
      <c r="M548" s="0" t="n">
        <f aca="false">IF(A548="池尻大橋",1,0)</f>
        <v>0</v>
      </c>
      <c r="N548" s="0" t="n">
        <f aca="false">IF(A548="三軒茶屋",1,0)</f>
        <v>0</v>
      </c>
      <c r="O548" s="0" t="n">
        <f aca="false">IF(A548="駒沢大学",1,0)</f>
        <v>0</v>
      </c>
      <c r="P548" s="0" t="n">
        <f aca="false">IF(A548="桜新町",1,0)</f>
        <v>0</v>
      </c>
      <c r="Q548" s="0" t="n">
        <f aca="false">IF(A548="二子玉川",1,0)</f>
        <v>0</v>
      </c>
      <c r="R548" s="0" t="n">
        <f aca="false">IF(E548=2021,1,0)</f>
        <v>0</v>
      </c>
      <c r="S548" s="0" t="n">
        <f aca="false">IF(E548=2022,1,0)</f>
        <v>1</v>
      </c>
      <c r="T548" s="0" t="n">
        <f aca="false">IF(E548=2023,1,0)</f>
        <v>0</v>
      </c>
      <c r="U548" s="0" t="n">
        <f aca="false">IF(E548=2024,1,0)</f>
        <v>0</v>
      </c>
    </row>
    <row r="549" customFormat="false" ht="15" hidden="false" customHeight="false" outlineLevel="0" collapsed="false">
      <c r="A549" s="1" t="s">
        <v>20</v>
      </c>
      <c r="B549" s="0" t="n">
        <v>4</v>
      </c>
      <c r="C549" s="0" t="n">
        <v>60</v>
      </c>
      <c r="D549" s="0" t="n">
        <v>2002</v>
      </c>
      <c r="E549" s="0" t="n">
        <v>2022</v>
      </c>
      <c r="F549" s="1" t="s">
        <v>19</v>
      </c>
      <c r="G549" s="0" t="n">
        <v>66000000</v>
      </c>
      <c r="H549" s="0" t="n">
        <f aca="false">LN(G549/C549)</f>
        <v>13.9108207377686</v>
      </c>
      <c r="I549" s="0" t="n">
        <f aca="false">B549</f>
        <v>4</v>
      </c>
      <c r="J549" s="0" t="n">
        <f aca="false">E549-D549</f>
        <v>20</v>
      </c>
      <c r="K549" s="0" t="n">
        <f aca="false">C549</f>
        <v>60</v>
      </c>
      <c r="L549" s="0" t="n">
        <f aca="false">IF(F549="改装済み",1,0)</f>
        <v>0</v>
      </c>
      <c r="M549" s="0" t="n">
        <f aca="false">IF(A549="池尻大橋",1,0)</f>
        <v>0</v>
      </c>
      <c r="N549" s="0" t="n">
        <f aca="false">IF(A549="三軒茶屋",1,0)</f>
        <v>0</v>
      </c>
      <c r="O549" s="0" t="n">
        <f aca="false">IF(A549="駒沢大学",1,0)</f>
        <v>0</v>
      </c>
      <c r="P549" s="0" t="n">
        <f aca="false">IF(A549="桜新町",1,0)</f>
        <v>0</v>
      </c>
      <c r="Q549" s="0" t="n">
        <f aca="false">IF(A549="二子玉川",1,0)</f>
        <v>0</v>
      </c>
      <c r="R549" s="0" t="n">
        <f aca="false">IF(E549=2021,1,0)</f>
        <v>0</v>
      </c>
      <c r="S549" s="0" t="n">
        <f aca="false">IF(E549=2022,1,0)</f>
        <v>1</v>
      </c>
      <c r="T549" s="0" t="n">
        <f aca="false">IF(E549=2023,1,0)</f>
        <v>0</v>
      </c>
      <c r="U549" s="0" t="n">
        <f aca="false">IF(E549=2024,1,0)</f>
        <v>0</v>
      </c>
    </row>
    <row r="550" customFormat="false" ht="15" hidden="false" customHeight="false" outlineLevel="0" collapsed="false">
      <c r="A550" s="1" t="s">
        <v>20</v>
      </c>
      <c r="B550" s="0" t="n">
        <v>3</v>
      </c>
      <c r="C550" s="0" t="n">
        <v>75</v>
      </c>
      <c r="D550" s="0" t="n">
        <v>1985</v>
      </c>
      <c r="E550" s="0" t="n">
        <v>2022</v>
      </c>
      <c r="F550" s="1" t="s">
        <v>18</v>
      </c>
      <c r="G550" s="0" t="n">
        <v>78000000</v>
      </c>
      <c r="H550" s="0" t="n">
        <f aca="false">LN(G550/C550)</f>
        <v>13.8547312711176</v>
      </c>
      <c r="I550" s="0" t="n">
        <f aca="false">B550</f>
        <v>3</v>
      </c>
      <c r="J550" s="0" t="n">
        <f aca="false">E550-D550</f>
        <v>37</v>
      </c>
      <c r="K550" s="0" t="n">
        <f aca="false">C550</f>
        <v>75</v>
      </c>
      <c r="L550" s="0" t="n">
        <f aca="false">IF(F550="改装済み",1,0)</f>
        <v>1</v>
      </c>
      <c r="M550" s="0" t="n">
        <f aca="false">IF(A550="池尻大橋",1,0)</f>
        <v>0</v>
      </c>
      <c r="N550" s="0" t="n">
        <f aca="false">IF(A550="三軒茶屋",1,0)</f>
        <v>0</v>
      </c>
      <c r="O550" s="0" t="n">
        <f aca="false">IF(A550="駒沢大学",1,0)</f>
        <v>0</v>
      </c>
      <c r="P550" s="0" t="n">
        <f aca="false">IF(A550="桜新町",1,0)</f>
        <v>0</v>
      </c>
      <c r="Q550" s="0" t="n">
        <f aca="false">IF(A550="二子玉川",1,0)</f>
        <v>0</v>
      </c>
      <c r="R550" s="0" t="n">
        <f aca="false">IF(E550=2021,1,0)</f>
        <v>0</v>
      </c>
      <c r="S550" s="0" t="n">
        <f aca="false">IF(E550=2022,1,0)</f>
        <v>1</v>
      </c>
      <c r="T550" s="0" t="n">
        <f aca="false">IF(E550=2023,1,0)</f>
        <v>0</v>
      </c>
      <c r="U550" s="0" t="n">
        <f aca="false">IF(E550=2024,1,0)</f>
        <v>0</v>
      </c>
    </row>
    <row r="551" customFormat="false" ht="15" hidden="false" customHeight="false" outlineLevel="0" collapsed="false">
      <c r="A551" s="1" t="s">
        <v>20</v>
      </c>
      <c r="B551" s="0" t="n">
        <v>7</v>
      </c>
      <c r="C551" s="0" t="n">
        <v>60</v>
      </c>
      <c r="D551" s="0" t="n">
        <v>2001</v>
      </c>
      <c r="E551" s="0" t="n">
        <v>2022</v>
      </c>
      <c r="F551" s="1" t="s">
        <v>18</v>
      </c>
      <c r="G551" s="0" t="n">
        <v>62000000</v>
      </c>
      <c r="H551" s="0" t="n">
        <f aca="false">LN(G551/C551)</f>
        <v>13.8483003807873</v>
      </c>
      <c r="I551" s="0" t="n">
        <f aca="false">B551</f>
        <v>7</v>
      </c>
      <c r="J551" s="0" t="n">
        <f aca="false">E551-D551</f>
        <v>21</v>
      </c>
      <c r="K551" s="0" t="n">
        <f aca="false">C551</f>
        <v>60</v>
      </c>
      <c r="L551" s="0" t="n">
        <f aca="false">IF(F551="改装済み",1,0)</f>
        <v>1</v>
      </c>
      <c r="M551" s="0" t="n">
        <f aca="false">IF(A551="池尻大橋",1,0)</f>
        <v>0</v>
      </c>
      <c r="N551" s="0" t="n">
        <f aca="false">IF(A551="三軒茶屋",1,0)</f>
        <v>0</v>
      </c>
      <c r="O551" s="0" t="n">
        <f aca="false">IF(A551="駒沢大学",1,0)</f>
        <v>0</v>
      </c>
      <c r="P551" s="0" t="n">
        <f aca="false">IF(A551="桜新町",1,0)</f>
        <v>0</v>
      </c>
      <c r="Q551" s="0" t="n">
        <f aca="false">IF(A551="二子玉川",1,0)</f>
        <v>0</v>
      </c>
      <c r="R551" s="0" t="n">
        <f aca="false">IF(E551=2021,1,0)</f>
        <v>0</v>
      </c>
      <c r="S551" s="0" t="n">
        <f aca="false">IF(E551=2022,1,0)</f>
        <v>1</v>
      </c>
      <c r="T551" s="0" t="n">
        <f aca="false">IF(E551=2023,1,0)</f>
        <v>0</v>
      </c>
      <c r="U551" s="0" t="n">
        <f aca="false">IF(E551=2024,1,0)</f>
        <v>0</v>
      </c>
    </row>
    <row r="552" customFormat="false" ht="15" hidden="false" customHeight="false" outlineLevel="0" collapsed="false">
      <c r="A552" s="1" t="s">
        <v>20</v>
      </c>
      <c r="B552" s="0" t="n">
        <v>1</v>
      </c>
      <c r="C552" s="0" t="n">
        <v>50</v>
      </c>
      <c r="D552" s="0" t="n">
        <v>2019</v>
      </c>
      <c r="E552" s="0" t="n">
        <v>2022</v>
      </c>
      <c r="F552" s="1" t="s">
        <v>18</v>
      </c>
      <c r="G552" s="0" t="n">
        <v>73000000</v>
      </c>
      <c r="H552" s="0" t="n">
        <f aca="false">LN(G552/C552)</f>
        <v>14.1939469936845</v>
      </c>
      <c r="I552" s="0" t="n">
        <f aca="false">B552</f>
        <v>1</v>
      </c>
      <c r="J552" s="0" t="n">
        <f aca="false">E552-D552</f>
        <v>3</v>
      </c>
      <c r="K552" s="0" t="n">
        <f aca="false">C552</f>
        <v>50</v>
      </c>
      <c r="L552" s="0" t="n">
        <f aca="false">IF(F552="改装済み",1,0)</f>
        <v>1</v>
      </c>
      <c r="M552" s="0" t="n">
        <f aca="false">IF(A552="池尻大橋",1,0)</f>
        <v>0</v>
      </c>
      <c r="N552" s="0" t="n">
        <f aca="false">IF(A552="三軒茶屋",1,0)</f>
        <v>0</v>
      </c>
      <c r="O552" s="0" t="n">
        <f aca="false">IF(A552="駒沢大学",1,0)</f>
        <v>0</v>
      </c>
      <c r="P552" s="0" t="n">
        <f aca="false">IF(A552="桜新町",1,0)</f>
        <v>0</v>
      </c>
      <c r="Q552" s="0" t="n">
        <f aca="false">IF(A552="二子玉川",1,0)</f>
        <v>0</v>
      </c>
      <c r="R552" s="0" t="n">
        <f aca="false">IF(E552=2021,1,0)</f>
        <v>0</v>
      </c>
      <c r="S552" s="0" t="n">
        <f aca="false">IF(E552=2022,1,0)</f>
        <v>1</v>
      </c>
      <c r="T552" s="0" t="n">
        <f aca="false">IF(E552=2023,1,0)</f>
        <v>0</v>
      </c>
      <c r="U552" s="0" t="n">
        <f aca="false">IF(E552=2024,1,0)</f>
        <v>0</v>
      </c>
    </row>
    <row r="553" customFormat="false" ht="15" hidden="false" customHeight="false" outlineLevel="0" collapsed="false">
      <c r="A553" s="1" t="s">
        <v>20</v>
      </c>
      <c r="B553" s="0" t="n">
        <v>9</v>
      </c>
      <c r="C553" s="0" t="n">
        <v>75</v>
      </c>
      <c r="D553" s="0" t="n">
        <v>2006</v>
      </c>
      <c r="E553" s="0" t="n">
        <v>2022</v>
      </c>
      <c r="F553" s="1" t="s">
        <v>19</v>
      </c>
      <c r="G553" s="0" t="n">
        <v>87000000</v>
      </c>
      <c r="H553" s="0" t="n">
        <f aca="false">LN(G553/C553)</f>
        <v>13.9639305630825</v>
      </c>
      <c r="I553" s="0" t="n">
        <f aca="false">B553</f>
        <v>9</v>
      </c>
      <c r="J553" s="0" t="n">
        <f aca="false">E553-D553</f>
        <v>16</v>
      </c>
      <c r="K553" s="0" t="n">
        <f aca="false">C553</f>
        <v>75</v>
      </c>
      <c r="L553" s="0" t="n">
        <f aca="false">IF(F553="改装済み",1,0)</f>
        <v>0</v>
      </c>
      <c r="M553" s="0" t="n">
        <f aca="false">IF(A553="池尻大橋",1,0)</f>
        <v>0</v>
      </c>
      <c r="N553" s="0" t="n">
        <f aca="false">IF(A553="三軒茶屋",1,0)</f>
        <v>0</v>
      </c>
      <c r="O553" s="0" t="n">
        <f aca="false">IF(A553="駒沢大学",1,0)</f>
        <v>0</v>
      </c>
      <c r="P553" s="0" t="n">
        <f aca="false">IF(A553="桜新町",1,0)</f>
        <v>0</v>
      </c>
      <c r="Q553" s="0" t="n">
        <f aca="false">IF(A553="二子玉川",1,0)</f>
        <v>0</v>
      </c>
      <c r="R553" s="0" t="n">
        <f aca="false">IF(E553=2021,1,0)</f>
        <v>0</v>
      </c>
      <c r="S553" s="0" t="n">
        <f aca="false">IF(E553=2022,1,0)</f>
        <v>1</v>
      </c>
      <c r="T553" s="0" t="n">
        <f aca="false">IF(E553=2023,1,0)</f>
        <v>0</v>
      </c>
      <c r="U553" s="0" t="n">
        <f aca="false">IF(E553=2024,1,0)</f>
        <v>0</v>
      </c>
    </row>
    <row r="554" customFormat="false" ht="15" hidden="false" customHeight="false" outlineLevel="0" collapsed="false">
      <c r="A554" s="1" t="s">
        <v>20</v>
      </c>
      <c r="B554" s="0" t="n">
        <v>10</v>
      </c>
      <c r="C554" s="0" t="n">
        <v>80</v>
      </c>
      <c r="D554" s="0" t="n">
        <v>2015</v>
      </c>
      <c r="E554" s="0" t="n">
        <v>2021</v>
      </c>
      <c r="F554" s="1" t="s">
        <v>19</v>
      </c>
      <c r="G554" s="0" t="n">
        <v>97000000</v>
      </c>
      <c r="H554" s="0" t="n">
        <f aca="false">LN(G554/C554)</f>
        <v>14.0081949017938</v>
      </c>
      <c r="I554" s="0" t="n">
        <f aca="false">B554</f>
        <v>10</v>
      </c>
      <c r="J554" s="0" t="n">
        <f aca="false">E554-D554</f>
        <v>6</v>
      </c>
      <c r="K554" s="0" t="n">
        <f aca="false">C554</f>
        <v>80</v>
      </c>
      <c r="L554" s="0" t="n">
        <f aca="false">IF(F554="改装済み",1,0)</f>
        <v>0</v>
      </c>
      <c r="M554" s="0" t="n">
        <f aca="false">IF(A554="池尻大橋",1,0)</f>
        <v>0</v>
      </c>
      <c r="N554" s="0" t="n">
        <f aca="false">IF(A554="三軒茶屋",1,0)</f>
        <v>0</v>
      </c>
      <c r="O554" s="0" t="n">
        <f aca="false">IF(A554="駒沢大学",1,0)</f>
        <v>0</v>
      </c>
      <c r="P554" s="0" t="n">
        <f aca="false">IF(A554="桜新町",1,0)</f>
        <v>0</v>
      </c>
      <c r="Q554" s="0" t="n">
        <f aca="false">IF(A554="二子玉川",1,0)</f>
        <v>0</v>
      </c>
      <c r="R554" s="0" t="n">
        <f aca="false">IF(E554=2021,1,0)</f>
        <v>1</v>
      </c>
      <c r="S554" s="0" t="n">
        <f aca="false">IF(E554=2022,1,0)</f>
        <v>0</v>
      </c>
      <c r="T554" s="0" t="n">
        <f aca="false">IF(E554=2023,1,0)</f>
        <v>0</v>
      </c>
      <c r="U554" s="0" t="n">
        <f aca="false">IF(E554=2024,1,0)</f>
        <v>0</v>
      </c>
    </row>
    <row r="555" customFormat="false" ht="15" hidden="false" customHeight="false" outlineLevel="0" collapsed="false">
      <c r="A555" s="1" t="s">
        <v>20</v>
      </c>
      <c r="B555" s="0" t="n">
        <v>8</v>
      </c>
      <c r="C555" s="0" t="n">
        <v>85</v>
      </c>
      <c r="D555" s="0" t="n">
        <v>2006</v>
      </c>
      <c r="E555" s="0" t="n">
        <v>2021</v>
      </c>
      <c r="F555" s="1" t="s">
        <v>19</v>
      </c>
      <c r="G555" s="0" t="n">
        <v>88000000</v>
      </c>
      <c r="H555" s="0" t="n">
        <f aca="false">LN(G555/C555)</f>
        <v>13.8501961159522</v>
      </c>
      <c r="I555" s="0" t="n">
        <f aca="false">B555</f>
        <v>8</v>
      </c>
      <c r="J555" s="0" t="n">
        <f aca="false">E555-D555</f>
        <v>15</v>
      </c>
      <c r="K555" s="0" t="n">
        <f aca="false">C555</f>
        <v>85</v>
      </c>
      <c r="L555" s="0" t="n">
        <f aca="false">IF(F555="改装済み",1,0)</f>
        <v>0</v>
      </c>
      <c r="M555" s="0" t="n">
        <f aca="false">IF(A555="池尻大橋",1,0)</f>
        <v>0</v>
      </c>
      <c r="N555" s="0" t="n">
        <f aca="false">IF(A555="三軒茶屋",1,0)</f>
        <v>0</v>
      </c>
      <c r="O555" s="0" t="n">
        <f aca="false">IF(A555="駒沢大学",1,0)</f>
        <v>0</v>
      </c>
      <c r="P555" s="0" t="n">
        <f aca="false">IF(A555="桜新町",1,0)</f>
        <v>0</v>
      </c>
      <c r="Q555" s="0" t="n">
        <f aca="false">IF(A555="二子玉川",1,0)</f>
        <v>0</v>
      </c>
      <c r="R555" s="0" t="n">
        <f aca="false">IF(E555=2021,1,0)</f>
        <v>1</v>
      </c>
      <c r="S555" s="0" t="n">
        <f aca="false">IF(E555=2022,1,0)</f>
        <v>0</v>
      </c>
      <c r="T555" s="0" t="n">
        <f aca="false">IF(E555=2023,1,0)</f>
        <v>0</v>
      </c>
      <c r="U555" s="0" t="n">
        <f aca="false">IF(E555=2024,1,0)</f>
        <v>0</v>
      </c>
    </row>
    <row r="556" customFormat="false" ht="15" hidden="false" customHeight="false" outlineLevel="0" collapsed="false">
      <c r="A556" s="1" t="s">
        <v>20</v>
      </c>
      <c r="B556" s="0" t="n">
        <v>11</v>
      </c>
      <c r="C556" s="0" t="n">
        <v>80</v>
      </c>
      <c r="D556" s="0" t="n">
        <v>2013</v>
      </c>
      <c r="E556" s="0" t="n">
        <v>2021</v>
      </c>
      <c r="F556" s="1" t="s">
        <v>18</v>
      </c>
      <c r="G556" s="0" t="n">
        <v>70000000</v>
      </c>
      <c r="H556" s="0" t="n">
        <f aca="false">LN(G556/C556)</f>
        <v>13.6819791653398</v>
      </c>
      <c r="I556" s="0" t="n">
        <f aca="false">B556</f>
        <v>11</v>
      </c>
      <c r="J556" s="0" t="n">
        <f aca="false">E556-D556</f>
        <v>8</v>
      </c>
      <c r="K556" s="0" t="n">
        <f aca="false">C556</f>
        <v>80</v>
      </c>
      <c r="L556" s="0" t="n">
        <f aca="false">IF(F556="改装済み",1,0)</f>
        <v>1</v>
      </c>
      <c r="M556" s="0" t="n">
        <f aca="false">IF(A556="池尻大橋",1,0)</f>
        <v>0</v>
      </c>
      <c r="N556" s="0" t="n">
        <f aca="false">IF(A556="三軒茶屋",1,0)</f>
        <v>0</v>
      </c>
      <c r="O556" s="0" t="n">
        <f aca="false">IF(A556="駒沢大学",1,0)</f>
        <v>0</v>
      </c>
      <c r="P556" s="0" t="n">
        <f aca="false">IF(A556="桜新町",1,0)</f>
        <v>0</v>
      </c>
      <c r="Q556" s="0" t="n">
        <f aca="false">IF(A556="二子玉川",1,0)</f>
        <v>0</v>
      </c>
      <c r="R556" s="0" t="n">
        <f aca="false">IF(E556=2021,1,0)</f>
        <v>1</v>
      </c>
      <c r="S556" s="0" t="n">
        <f aca="false">IF(E556=2022,1,0)</f>
        <v>0</v>
      </c>
      <c r="T556" s="0" t="n">
        <f aca="false">IF(E556=2023,1,0)</f>
        <v>0</v>
      </c>
      <c r="U556" s="0" t="n">
        <f aca="false">IF(E556=2024,1,0)</f>
        <v>0</v>
      </c>
    </row>
    <row r="557" customFormat="false" ht="15" hidden="false" customHeight="false" outlineLevel="0" collapsed="false">
      <c r="A557" s="1" t="s">
        <v>20</v>
      </c>
      <c r="B557" s="0" t="n">
        <v>9</v>
      </c>
      <c r="C557" s="0" t="n">
        <v>60</v>
      </c>
      <c r="D557" s="0" t="n">
        <v>1984</v>
      </c>
      <c r="E557" s="0" t="n">
        <v>2021</v>
      </c>
      <c r="F557" s="1" t="s">
        <v>18</v>
      </c>
      <c r="G557" s="0" t="n">
        <v>46000000</v>
      </c>
      <c r="H557" s="0" t="n">
        <f aca="false">LN(G557/C557)</f>
        <v>13.5498073922313</v>
      </c>
      <c r="I557" s="0" t="n">
        <f aca="false">B557</f>
        <v>9</v>
      </c>
      <c r="J557" s="0" t="n">
        <f aca="false">E557-D557</f>
        <v>37</v>
      </c>
      <c r="K557" s="0" t="n">
        <f aca="false">C557</f>
        <v>60</v>
      </c>
      <c r="L557" s="0" t="n">
        <f aca="false">IF(F557="改装済み",1,0)</f>
        <v>1</v>
      </c>
      <c r="M557" s="0" t="n">
        <f aca="false">IF(A557="池尻大橋",1,0)</f>
        <v>0</v>
      </c>
      <c r="N557" s="0" t="n">
        <f aca="false">IF(A557="三軒茶屋",1,0)</f>
        <v>0</v>
      </c>
      <c r="O557" s="0" t="n">
        <f aca="false">IF(A557="駒沢大学",1,0)</f>
        <v>0</v>
      </c>
      <c r="P557" s="0" t="n">
        <f aca="false">IF(A557="桜新町",1,0)</f>
        <v>0</v>
      </c>
      <c r="Q557" s="0" t="n">
        <f aca="false">IF(A557="二子玉川",1,0)</f>
        <v>0</v>
      </c>
      <c r="R557" s="0" t="n">
        <f aca="false">IF(E557=2021,1,0)</f>
        <v>1</v>
      </c>
      <c r="S557" s="0" t="n">
        <f aca="false">IF(E557=2022,1,0)</f>
        <v>0</v>
      </c>
      <c r="T557" s="0" t="n">
        <f aca="false">IF(E557=2023,1,0)</f>
        <v>0</v>
      </c>
      <c r="U557" s="0" t="n">
        <f aca="false">IF(E557=2024,1,0)</f>
        <v>0</v>
      </c>
    </row>
    <row r="558" customFormat="false" ht="15" hidden="false" customHeight="false" outlineLevel="0" collapsed="false">
      <c r="A558" s="1" t="s">
        <v>20</v>
      </c>
      <c r="B558" s="0" t="n">
        <v>9</v>
      </c>
      <c r="C558" s="0" t="n">
        <v>80</v>
      </c>
      <c r="D558" s="0" t="n">
        <v>2005</v>
      </c>
      <c r="E558" s="0" t="n">
        <v>2021</v>
      </c>
      <c r="F558" s="1" t="s">
        <v>19</v>
      </c>
      <c r="G558" s="0" t="n">
        <v>89000000</v>
      </c>
      <c r="H558" s="0" t="n">
        <f aca="false">LN(G558/C558)</f>
        <v>13.9221202930225</v>
      </c>
      <c r="I558" s="0" t="n">
        <f aca="false">B558</f>
        <v>9</v>
      </c>
      <c r="J558" s="0" t="n">
        <f aca="false">E558-D558</f>
        <v>16</v>
      </c>
      <c r="K558" s="0" t="n">
        <f aca="false">C558</f>
        <v>80</v>
      </c>
      <c r="L558" s="0" t="n">
        <f aca="false">IF(F558="改装済み",1,0)</f>
        <v>0</v>
      </c>
      <c r="M558" s="0" t="n">
        <f aca="false">IF(A558="池尻大橋",1,0)</f>
        <v>0</v>
      </c>
      <c r="N558" s="0" t="n">
        <f aca="false">IF(A558="三軒茶屋",1,0)</f>
        <v>0</v>
      </c>
      <c r="O558" s="0" t="n">
        <f aca="false">IF(A558="駒沢大学",1,0)</f>
        <v>0</v>
      </c>
      <c r="P558" s="0" t="n">
        <f aca="false">IF(A558="桜新町",1,0)</f>
        <v>0</v>
      </c>
      <c r="Q558" s="0" t="n">
        <f aca="false">IF(A558="二子玉川",1,0)</f>
        <v>0</v>
      </c>
      <c r="R558" s="0" t="n">
        <f aca="false">IF(E558=2021,1,0)</f>
        <v>1</v>
      </c>
      <c r="S558" s="0" t="n">
        <f aca="false">IF(E558=2022,1,0)</f>
        <v>0</v>
      </c>
      <c r="T558" s="0" t="n">
        <f aca="false">IF(E558=2023,1,0)</f>
        <v>0</v>
      </c>
      <c r="U558" s="0" t="n">
        <f aca="false">IF(E558=2024,1,0)</f>
        <v>0</v>
      </c>
    </row>
    <row r="559" customFormat="false" ht="15" hidden="false" customHeight="false" outlineLevel="0" collapsed="false">
      <c r="A559" s="1" t="s">
        <v>20</v>
      </c>
      <c r="B559" s="0" t="n">
        <v>5</v>
      </c>
      <c r="C559" s="0" t="n">
        <v>50</v>
      </c>
      <c r="D559" s="0" t="n">
        <v>1989</v>
      </c>
      <c r="E559" s="0" t="n">
        <v>2021</v>
      </c>
      <c r="F559" s="1" t="s">
        <v>18</v>
      </c>
      <c r="G559" s="0" t="n">
        <v>43000000</v>
      </c>
      <c r="H559" s="0" t="n">
        <f aca="false">LN(G559/C559)</f>
        <v>13.6646876682297</v>
      </c>
      <c r="I559" s="0" t="n">
        <f aca="false">B559</f>
        <v>5</v>
      </c>
      <c r="J559" s="0" t="n">
        <f aca="false">E559-D559</f>
        <v>32</v>
      </c>
      <c r="K559" s="0" t="n">
        <f aca="false">C559</f>
        <v>50</v>
      </c>
      <c r="L559" s="0" t="n">
        <f aca="false">IF(F559="改装済み",1,0)</f>
        <v>1</v>
      </c>
      <c r="M559" s="0" t="n">
        <f aca="false">IF(A559="池尻大橋",1,0)</f>
        <v>0</v>
      </c>
      <c r="N559" s="0" t="n">
        <f aca="false">IF(A559="三軒茶屋",1,0)</f>
        <v>0</v>
      </c>
      <c r="O559" s="0" t="n">
        <f aca="false">IF(A559="駒沢大学",1,0)</f>
        <v>0</v>
      </c>
      <c r="P559" s="0" t="n">
        <f aca="false">IF(A559="桜新町",1,0)</f>
        <v>0</v>
      </c>
      <c r="Q559" s="0" t="n">
        <f aca="false">IF(A559="二子玉川",1,0)</f>
        <v>0</v>
      </c>
      <c r="R559" s="0" t="n">
        <f aca="false">IF(E559=2021,1,0)</f>
        <v>1</v>
      </c>
      <c r="S559" s="0" t="n">
        <f aca="false">IF(E559=2022,1,0)</f>
        <v>0</v>
      </c>
      <c r="T559" s="0" t="n">
        <f aca="false">IF(E559=2023,1,0)</f>
        <v>0</v>
      </c>
      <c r="U559" s="0" t="n">
        <f aca="false">IF(E559=2024,1,0)</f>
        <v>0</v>
      </c>
    </row>
    <row r="560" customFormat="false" ht="15" hidden="false" customHeight="false" outlineLevel="0" collapsed="false">
      <c r="A560" s="1" t="s">
        <v>20</v>
      </c>
      <c r="B560" s="0" t="n">
        <v>3</v>
      </c>
      <c r="C560" s="0" t="n">
        <v>70</v>
      </c>
      <c r="D560" s="0" t="n">
        <v>2002</v>
      </c>
      <c r="E560" s="0" t="n">
        <v>2021</v>
      </c>
      <c r="F560" s="1" t="s">
        <v>19</v>
      </c>
      <c r="G560" s="0" t="n">
        <v>58000000</v>
      </c>
      <c r="H560" s="0" t="n">
        <f aca="false">LN(G560/C560)</f>
        <v>13.6274583264613</v>
      </c>
      <c r="I560" s="0" t="n">
        <f aca="false">B560</f>
        <v>3</v>
      </c>
      <c r="J560" s="0" t="n">
        <f aca="false">E560-D560</f>
        <v>19</v>
      </c>
      <c r="K560" s="0" t="n">
        <f aca="false">C560</f>
        <v>70</v>
      </c>
      <c r="L560" s="0" t="n">
        <f aca="false">IF(F560="改装済み",1,0)</f>
        <v>0</v>
      </c>
      <c r="M560" s="0" t="n">
        <f aca="false">IF(A560="池尻大橋",1,0)</f>
        <v>0</v>
      </c>
      <c r="N560" s="0" t="n">
        <f aca="false">IF(A560="三軒茶屋",1,0)</f>
        <v>0</v>
      </c>
      <c r="O560" s="0" t="n">
        <f aca="false">IF(A560="駒沢大学",1,0)</f>
        <v>0</v>
      </c>
      <c r="P560" s="0" t="n">
        <f aca="false">IF(A560="桜新町",1,0)</f>
        <v>0</v>
      </c>
      <c r="Q560" s="0" t="n">
        <f aca="false">IF(A560="二子玉川",1,0)</f>
        <v>0</v>
      </c>
      <c r="R560" s="0" t="n">
        <f aca="false">IF(E560=2021,1,0)</f>
        <v>1</v>
      </c>
      <c r="S560" s="0" t="n">
        <f aca="false">IF(E560=2022,1,0)</f>
        <v>0</v>
      </c>
      <c r="T560" s="0" t="n">
        <f aca="false">IF(E560=2023,1,0)</f>
        <v>0</v>
      </c>
      <c r="U560" s="0" t="n">
        <f aca="false">IF(E560=2024,1,0)</f>
        <v>0</v>
      </c>
    </row>
    <row r="561" customFormat="false" ht="15" hidden="false" customHeight="false" outlineLevel="0" collapsed="false">
      <c r="A561" s="1" t="s">
        <v>20</v>
      </c>
      <c r="B561" s="0" t="n">
        <v>5</v>
      </c>
      <c r="C561" s="0" t="n">
        <v>80</v>
      </c>
      <c r="D561" s="0" t="n">
        <v>1986</v>
      </c>
      <c r="E561" s="0" t="n">
        <v>2021</v>
      </c>
      <c r="F561" s="1" t="s">
        <v>19</v>
      </c>
      <c r="G561" s="0" t="n">
        <v>60000000</v>
      </c>
      <c r="H561" s="0" t="n">
        <f aca="false">LN(G561/C561)</f>
        <v>13.5278284855125</v>
      </c>
      <c r="I561" s="0" t="n">
        <f aca="false">B561</f>
        <v>5</v>
      </c>
      <c r="J561" s="0" t="n">
        <f aca="false">E561-D561</f>
        <v>35</v>
      </c>
      <c r="K561" s="0" t="n">
        <f aca="false">C561</f>
        <v>80</v>
      </c>
      <c r="L561" s="0" t="n">
        <f aca="false">IF(F561="改装済み",1,0)</f>
        <v>0</v>
      </c>
      <c r="M561" s="0" t="n">
        <f aca="false">IF(A561="池尻大橋",1,0)</f>
        <v>0</v>
      </c>
      <c r="N561" s="0" t="n">
        <f aca="false">IF(A561="三軒茶屋",1,0)</f>
        <v>0</v>
      </c>
      <c r="O561" s="0" t="n">
        <f aca="false">IF(A561="駒沢大学",1,0)</f>
        <v>0</v>
      </c>
      <c r="P561" s="0" t="n">
        <f aca="false">IF(A561="桜新町",1,0)</f>
        <v>0</v>
      </c>
      <c r="Q561" s="0" t="n">
        <f aca="false">IF(A561="二子玉川",1,0)</f>
        <v>0</v>
      </c>
      <c r="R561" s="0" t="n">
        <f aca="false">IF(E561=2021,1,0)</f>
        <v>1</v>
      </c>
      <c r="S561" s="0" t="n">
        <f aca="false">IF(E561=2022,1,0)</f>
        <v>0</v>
      </c>
      <c r="T561" s="0" t="n">
        <f aca="false">IF(E561=2023,1,0)</f>
        <v>0</v>
      </c>
      <c r="U561" s="0" t="n">
        <f aca="false">IF(E561=2024,1,0)</f>
        <v>0</v>
      </c>
    </row>
    <row r="562" customFormat="false" ht="15" hidden="false" customHeight="false" outlineLevel="0" collapsed="false">
      <c r="A562" s="1" t="s">
        <v>20</v>
      </c>
      <c r="B562" s="0" t="n">
        <v>6</v>
      </c>
      <c r="C562" s="0" t="n">
        <v>60</v>
      </c>
      <c r="D562" s="0" t="n">
        <v>1997</v>
      </c>
      <c r="E562" s="0" t="n">
        <v>2021</v>
      </c>
      <c r="F562" s="1" t="s">
        <v>19</v>
      </c>
      <c r="G562" s="0" t="n">
        <v>46000000</v>
      </c>
      <c r="H562" s="0" t="n">
        <f aca="false">LN(G562/C562)</f>
        <v>13.5498073922313</v>
      </c>
      <c r="I562" s="0" t="n">
        <f aca="false">B562</f>
        <v>6</v>
      </c>
      <c r="J562" s="0" t="n">
        <f aca="false">E562-D562</f>
        <v>24</v>
      </c>
      <c r="K562" s="0" t="n">
        <f aca="false">C562</f>
        <v>60</v>
      </c>
      <c r="L562" s="0" t="n">
        <f aca="false">IF(F562="改装済み",1,0)</f>
        <v>0</v>
      </c>
      <c r="M562" s="0" t="n">
        <f aca="false">IF(A562="池尻大橋",1,0)</f>
        <v>0</v>
      </c>
      <c r="N562" s="0" t="n">
        <f aca="false">IF(A562="三軒茶屋",1,0)</f>
        <v>0</v>
      </c>
      <c r="O562" s="0" t="n">
        <f aca="false">IF(A562="駒沢大学",1,0)</f>
        <v>0</v>
      </c>
      <c r="P562" s="0" t="n">
        <f aca="false">IF(A562="桜新町",1,0)</f>
        <v>0</v>
      </c>
      <c r="Q562" s="0" t="n">
        <f aca="false">IF(A562="二子玉川",1,0)</f>
        <v>0</v>
      </c>
      <c r="R562" s="0" t="n">
        <f aca="false">IF(E562=2021,1,0)</f>
        <v>1</v>
      </c>
      <c r="S562" s="0" t="n">
        <f aca="false">IF(E562=2022,1,0)</f>
        <v>0</v>
      </c>
      <c r="T562" s="0" t="n">
        <f aca="false">IF(E562=2023,1,0)</f>
        <v>0</v>
      </c>
      <c r="U562" s="0" t="n">
        <f aca="false">IF(E562=2024,1,0)</f>
        <v>0</v>
      </c>
    </row>
    <row r="563" customFormat="false" ht="15" hidden="false" customHeight="false" outlineLevel="0" collapsed="false">
      <c r="A563" s="1" t="s">
        <v>20</v>
      </c>
      <c r="B563" s="0" t="n">
        <v>9</v>
      </c>
      <c r="C563" s="0" t="n">
        <v>75</v>
      </c>
      <c r="D563" s="0" t="n">
        <v>2005</v>
      </c>
      <c r="E563" s="0" t="n">
        <v>2021</v>
      </c>
      <c r="F563" s="1" t="s">
        <v>19</v>
      </c>
      <c r="G563" s="0" t="n">
        <v>88000000</v>
      </c>
      <c r="H563" s="0" t="n">
        <f aca="false">LN(G563/C563)</f>
        <v>13.9753592589062</v>
      </c>
      <c r="I563" s="0" t="n">
        <f aca="false">B563</f>
        <v>9</v>
      </c>
      <c r="J563" s="0" t="n">
        <f aca="false">E563-D563</f>
        <v>16</v>
      </c>
      <c r="K563" s="0" t="n">
        <f aca="false">C563</f>
        <v>75</v>
      </c>
      <c r="L563" s="0" t="n">
        <f aca="false">IF(F563="改装済み",1,0)</f>
        <v>0</v>
      </c>
      <c r="M563" s="0" t="n">
        <f aca="false">IF(A563="池尻大橋",1,0)</f>
        <v>0</v>
      </c>
      <c r="N563" s="0" t="n">
        <f aca="false">IF(A563="三軒茶屋",1,0)</f>
        <v>0</v>
      </c>
      <c r="O563" s="0" t="n">
        <f aca="false">IF(A563="駒沢大学",1,0)</f>
        <v>0</v>
      </c>
      <c r="P563" s="0" t="n">
        <f aca="false">IF(A563="桜新町",1,0)</f>
        <v>0</v>
      </c>
      <c r="Q563" s="0" t="n">
        <f aca="false">IF(A563="二子玉川",1,0)</f>
        <v>0</v>
      </c>
      <c r="R563" s="0" t="n">
        <f aca="false">IF(E563=2021,1,0)</f>
        <v>1</v>
      </c>
      <c r="S563" s="0" t="n">
        <f aca="false">IF(E563=2022,1,0)</f>
        <v>0</v>
      </c>
      <c r="T563" s="0" t="n">
        <f aca="false">IF(E563=2023,1,0)</f>
        <v>0</v>
      </c>
      <c r="U563" s="0" t="n">
        <f aca="false">IF(E563=2024,1,0)</f>
        <v>0</v>
      </c>
    </row>
    <row r="564" customFormat="false" ht="15" hidden="false" customHeight="false" outlineLevel="0" collapsed="false">
      <c r="A564" s="1" t="s">
        <v>20</v>
      </c>
      <c r="B564" s="0" t="n">
        <v>9</v>
      </c>
      <c r="C564" s="0" t="n">
        <v>85</v>
      </c>
      <c r="D564" s="0" t="n">
        <v>2012</v>
      </c>
      <c r="E564" s="0" t="n">
        <v>2021</v>
      </c>
      <c r="F564" s="1" t="s">
        <v>19</v>
      </c>
      <c r="G564" s="0" t="n">
        <v>97000000</v>
      </c>
      <c r="H564" s="0" t="n">
        <f aca="false">LN(G564/C564)</f>
        <v>13.9475702799773</v>
      </c>
      <c r="I564" s="0" t="n">
        <f aca="false">B564</f>
        <v>9</v>
      </c>
      <c r="J564" s="0" t="n">
        <f aca="false">E564-D564</f>
        <v>9</v>
      </c>
      <c r="K564" s="0" t="n">
        <f aca="false">C564</f>
        <v>85</v>
      </c>
      <c r="L564" s="0" t="n">
        <f aca="false">IF(F564="改装済み",1,0)</f>
        <v>0</v>
      </c>
      <c r="M564" s="0" t="n">
        <f aca="false">IF(A564="池尻大橋",1,0)</f>
        <v>0</v>
      </c>
      <c r="N564" s="0" t="n">
        <f aca="false">IF(A564="三軒茶屋",1,0)</f>
        <v>0</v>
      </c>
      <c r="O564" s="0" t="n">
        <f aca="false">IF(A564="駒沢大学",1,0)</f>
        <v>0</v>
      </c>
      <c r="P564" s="0" t="n">
        <f aca="false">IF(A564="桜新町",1,0)</f>
        <v>0</v>
      </c>
      <c r="Q564" s="0" t="n">
        <f aca="false">IF(A564="二子玉川",1,0)</f>
        <v>0</v>
      </c>
      <c r="R564" s="0" t="n">
        <f aca="false">IF(E564=2021,1,0)</f>
        <v>1</v>
      </c>
      <c r="S564" s="0" t="n">
        <f aca="false">IF(E564=2022,1,0)</f>
        <v>0</v>
      </c>
      <c r="T564" s="0" t="n">
        <f aca="false">IF(E564=2023,1,0)</f>
        <v>0</v>
      </c>
      <c r="U564" s="0" t="n">
        <f aca="false">IF(E564=2024,1,0)</f>
        <v>0</v>
      </c>
    </row>
    <row r="565" customFormat="false" ht="15" hidden="false" customHeight="false" outlineLevel="0" collapsed="false">
      <c r="A565" s="1" t="s">
        <v>20</v>
      </c>
      <c r="B565" s="0" t="n">
        <v>3</v>
      </c>
      <c r="C565" s="0" t="n">
        <v>75</v>
      </c>
      <c r="D565" s="0" t="n">
        <v>1985</v>
      </c>
      <c r="E565" s="0" t="n">
        <v>2021</v>
      </c>
      <c r="F565" s="1" t="s">
        <v>19</v>
      </c>
      <c r="G565" s="0" t="n">
        <v>53000000</v>
      </c>
      <c r="H565" s="0" t="n">
        <f aca="false">LN(G565/C565)</f>
        <v>13.4683143579801</v>
      </c>
      <c r="I565" s="0" t="n">
        <f aca="false">B565</f>
        <v>3</v>
      </c>
      <c r="J565" s="0" t="n">
        <f aca="false">E565-D565</f>
        <v>36</v>
      </c>
      <c r="K565" s="0" t="n">
        <f aca="false">C565</f>
        <v>75</v>
      </c>
      <c r="L565" s="0" t="n">
        <f aca="false">IF(F565="改装済み",1,0)</f>
        <v>0</v>
      </c>
      <c r="M565" s="0" t="n">
        <f aca="false">IF(A565="池尻大橋",1,0)</f>
        <v>0</v>
      </c>
      <c r="N565" s="0" t="n">
        <f aca="false">IF(A565="三軒茶屋",1,0)</f>
        <v>0</v>
      </c>
      <c r="O565" s="0" t="n">
        <f aca="false">IF(A565="駒沢大学",1,0)</f>
        <v>0</v>
      </c>
      <c r="P565" s="0" t="n">
        <f aca="false">IF(A565="桜新町",1,0)</f>
        <v>0</v>
      </c>
      <c r="Q565" s="0" t="n">
        <f aca="false">IF(A565="二子玉川",1,0)</f>
        <v>0</v>
      </c>
      <c r="R565" s="0" t="n">
        <f aca="false">IF(E565=2021,1,0)</f>
        <v>1</v>
      </c>
      <c r="S565" s="0" t="n">
        <f aca="false">IF(E565=2022,1,0)</f>
        <v>0</v>
      </c>
      <c r="T565" s="0" t="n">
        <f aca="false">IF(E565=2023,1,0)</f>
        <v>0</v>
      </c>
      <c r="U565" s="0" t="n">
        <f aca="false">IF(E565=2024,1,0)</f>
        <v>0</v>
      </c>
    </row>
    <row r="566" customFormat="false" ht="15" hidden="false" customHeight="false" outlineLevel="0" collapsed="false">
      <c r="A566" s="1" t="s">
        <v>10</v>
      </c>
      <c r="B566" s="0" t="n">
        <v>13</v>
      </c>
      <c r="C566" s="0" t="n">
        <v>75</v>
      </c>
      <c r="D566" s="0" t="n">
        <v>2010</v>
      </c>
      <c r="E566" s="0" t="n">
        <v>2024</v>
      </c>
      <c r="F566" s="1" t="s">
        <v>19</v>
      </c>
      <c r="G566" s="0" t="n">
        <v>93000000</v>
      </c>
      <c r="H566" s="0" t="n">
        <f aca="false">LN(G566/C566)</f>
        <v>14.0306219375812</v>
      </c>
      <c r="I566" s="0" t="n">
        <f aca="false">B566</f>
        <v>13</v>
      </c>
      <c r="J566" s="0" t="n">
        <f aca="false">E566-D566</f>
        <v>14</v>
      </c>
      <c r="K566" s="0" t="n">
        <f aca="false">C566</f>
        <v>75</v>
      </c>
      <c r="L566" s="0" t="n">
        <f aca="false">IF(F566="改装済み",1,0)</f>
        <v>0</v>
      </c>
      <c r="M566" s="0" t="n">
        <f aca="false">IF(A566="池尻大橋",1,0)</f>
        <v>0</v>
      </c>
      <c r="N566" s="0" t="n">
        <f aca="false">IF(A566="三軒茶屋",1,0)</f>
        <v>1</v>
      </c>
      <c r="O566" s="0" t="n">
        <f aca="false">IF(A566="駒沢大学",1,0)</f>
        <v>0</v>
      </c>
      <c r="P566" s="0" t="n">
        <f aca="false">IF(A566="桜新町",1,0)</f>
        <v>0</v>
      </c>
      <c r="Q566" s="0" t="n">
        <f aca="false">IF(A566="二子玉川",1,0)</f>
        <v>0</v>
      </c>
      <c r="R566" s="0" t="n">
        <f aca="false">IF(E566=2021,1,0)</f>
        <v>0</v>
      </c>
      <c r="S566" s="0" t="n">
        <f aca="false">IF(E566=2022,1,0)</f>
        <v>0</v>
      </c>
      <c r="T566" s="0" t="n">
        <f aca="false">IF(E566=2023,1,0)</f>
        <v>0</v>
      </c>
      <c r="U566" s="0" t="n">
        <f aca="false">IF(E566=2024,1,0)</f>
        <v>1</v>
      </c>
    </row>
    <row r="567" customFormat="false" ht="15" hidden="false" customHeight="false" outlineLevel="0" collapsed="false">
      <c r="A567" s="1" t="s">
        <v>10</v>
      </c>
      <c r="B567" s="0" t="n">
        <v>13</v>
      </c>
      <c r="C567" s="0" t="n">
        <v>60</v>
      </c>
      <c r="D567" s="0" t="n">
        <v>2010</v>
      </c>
      <c r="E567" s="0" t="n">
        <v>2022</v>
      </c>
      <c r="F567" s="1" t="s">
        <v>19</v>
      </c>
      <c r="G567" s="0" t="n">
        <v>85000000</v>
      </c>
      <c r="H567" s="0" t="n">
        <f aca="false">LN(G567/C567)</f>
        <v>14.1638172522325</v>
      </c>
      <c r="I567" s="0" t="n">
        <f aca="false">B567</f>
        <v>13</v>
      </c>
      <c r="J567" s="0" t="n">
        <f aca="false">E567-D567</f>
        <v>12</v>
      </c>
      <c r="K567" s="0" t="n">
        <f aca="false">C567</f>
        <v>60</v>
      </c>
      <c r="L567" s="0" t="n">
        <f aca="false">IF(F567="改装済み",1,0)</f>
        <v>0</v>
      </c>
      <c r="M567" s="0" t="n">
        <f aca="false">IF(A567="池尻大橋",1,0)</f>
        <v>0</v>
      </c>
      <c r="N567" s="0" t="n">
        <f aca="false">IF(A567="三軒茶屋",1,0)</f>
        <v>1</v>
      </c>
      <c r="O567" s="0" t="n">
        <f aca="false">IF(A567="駒沢大学",1,0)</f>
        <v>0</v>
      </c>
      <c r="P567" s="0" t="n">
        <f aca="false">IF(A567="桜新町",1,0)</f>
        <v>0</v>
      </c>
      <c r="Q567" s="0" t="n">
        <f aca="false">IF(A567="二子玉川",1,0)</f>
        <v>0</v>
      </c>
      <c r="R567" s="0" t="n">
        <f aca="false">IF(E567=2021,1,0)</f>
        <v>0</v>
      </c>
      <c r="S567" s="0" t="n">
        <f aca="false">IF(E567=2022,1,0)</f>
        <v>1</v>
      </c>
      <c r="T567" s="0" t="n">
        <f aca="false">IF(E567=2023,1,0)</f>
        <v>0</v>
      </c>
      <c r="U567" s="0" t="n">
        <f aca="false">IF(E567=2024,1,0)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21</v>
      </c>
    </row>
    <row r="2" customFormat="false" ht="15" hidden="false" customHeight="false" outlineLevel="0" collapsed="false">
      <c r="A2" s="0" t="n">
        <f aca="false" t="array" ref="A2:N6">LINEST(データ!H2:H567,データ!I2:U567,TRUE(),TRUE())</f>
        <v>-0.0894941279493862</v>
      </c>
      <c r="B2" s="0" t="n">
        <v>-0.188643284423916</v>
      </c>
      <c r="C2" s="0" t="n">
        <v>-0.264758810206663</v>
      </c>
      <c r="D2" s="0" t="n">
        <v>-0.342826475936716</v>
      </c>
      <c r="E2" s="0" t="n">
        <v>0.143078664215965</v>
      </c>
      <c r="F2" s="0" t="n">
        <v>0.0632927279437964</v>
      </c>
      <c r="G2" s="0" t="n">
        <v>0.087672914998329</v>
      </c>
      <c r="H2" s="0" t="n">
        <v>0.191254156945258</v>
      </c>
      <c r="I2" s="0" t="n">
        <v>0.170048018925555</v>
      </c>
      <c r="J2" s="0" t="n">
        <v>0.149452758531685</v>
      </c>
      <c r="K2" s="0" t="n">
        <v>0.00272433229454591</v>
      </c>
      <c r="L2" s="0" t="n">
        <v>-0.0170463990243533</v>
      </c>
      <c r="M2" s="0" t="n">
        <v>-0.0262219653828436</v>
      </c>
      <c r="N2" s="0" t="n">
        <v>14.45047808375</v>
      </c>
    </row>
    <row r="3" customFormat="false" ht="15" hidden="false" customHeight="false" outlineLevel="0" collapsed="false">
      <c r="A3" s="0" t="n">
        <v>0.0245228258787631</v>
      </c>
      <c r="B3" s="0" t="n">
        <v>0.0257354619897438</v>
      </c>
      <c r="C3" s="0" t="n">
        <v>0.0243996892682157</v>
      </c>
      <c r="D3" s="0" t="n">
        <v>0.0247985146964266</v>
      </c>
      <c r="E3" s="0" t="n">
        <v>0.0241295279814328</v>
      </c>
      <c r="F3" s="0" t="n">
        <v>0.0236846044489166</v>
      </c>
      <c r="G3" s="0" t="n">
        <v>0.0273228574455051</v>
      </c>
      <c r="H3" s="0" t="n">
        <v>0.0254364746386801</v>
      </c>
      <c r="I3" s="0" t="n">
        <v>0.0332100104524217</v>
      </c>
      <c r="J3" s="0" t="n">
        <v>0.0174878233521463</v>
      </c>
      <c r="K3" s="0" t="n">
        <v>0.000430692167595516</v>
      </c>
      <c r="L3" s="0" t="n">
        <v>0.000595813710166485</v>
      </c>
      <c r="M3" s="0" t="n">
        <v>0.00146360990435876</v>
      </c>
      <c r="N3" s="0" t="n">
        <v>0.0423379742711216</v>
      </c>
    </row>
    <row r="4" customFormat="false" ht="15" hidden="false" customHeight="false" outlineLevel="0" collapsed="false">
      <c r="A4" s="0" t="n">
        <v>0.737693694348984</v>
      </c>
      <c r="B4" s="0" t="n">
        <v>0.184851217405875</v>
      </c>
      <c r="C4" s="0" t="e">
        <v>#N/A</v>
      </c>
      <c r="D4" s="0" t="e">
        <v>#N/A</v>
      </c>
      <c r="E4" s="0" t="e">
        <v>#N/A</v>
      </c>
      <c r="F4" s="0" t="e">
        <v>#N/A</v>
      </c>
      <c r="G4" s="0" t="e">
        <v>#N/A</v>
      </c>
      <c r="H4" s="0" t="e">
        <v>#N/A</v>
      </c>
      <c r="I4" s="0" t="e">
        <v>#N/A</v>
      </c>
      <c r="J4" s="0" t="e">
        <v>#N/A</v>
      </c>
      <c r="K4" s="0" t="e">
        <v>#N/A</v>
      </c>
      <c r="L4" s="0" t="e">
        <v>#N/A</v>
      </c>
      <c r="M4" s="0" t="e">
        <v>#N/A</v>
      </c>
      <c r="N4" s="0" t="e">
        <v>#N/A</v>
      </c>
    </row>
    <row r="5" customFormat="false" ht="15" hidden="false" customHeight="false" outlineLevel="0" collapsed="false">
      <c r="A5" s="0" t="n">
        <v>119.41615012911</v>
      </c>
      <c r="B5" s="0" t="n">
        <v>552</v>
      </c>
      <c r="C5" s="0" t="e">
        <v>#N/A</v>
      </c>
      <c r="D5" s="0" t="e">
        <v>#N/A</v>
      </c>
      <c r="E5" s="0" t="e">
        <v>#N/A</v>
      </c>
      <c r="F5" s="0" t="e">
        <v>#N/A</v>
      </c>
      <c r="G5" s="0" t="e">
        <v>#N/A</v>
      </c>
      <c r="H5" s="0" t="e">
        <v>#N/A</v>
      </c>
      <c r="I5" s="0" t="e">
        <v>#N/A</v>
      </c>
      <c r="J5" s="0" t="e">
        <v>#N/A</v>
      </c>
      <c r="K5" s="0" t="e">
        <v>#N/A</v>
      </c>
      <c r="L5" s="0" t="e">
        <v>#N/A</v>
      </c>
      <c r="M5" s="0" t="e">
        <v>#N/A</v>
      </c>
      <c r="N5" s="0" t="e">
        <v>#N/A</v>
      </c>
    </row>
    <row r="6" customFormat="false" ht="15" hidden="false" customHeight="false" outlineLevel="0" collapsed="false">
      <c r="A6" s="0" t="n">
        <v>53.0458054762353</v>
      </c>
      <c r="B6" s="0" t="n">
        <v>18.8618248621917</v>
      </c>
      <c r="C6" s="0" t="e">
        <v>#N/A</v>
      </c>
      <c r="D6" s="0" t="e">
        <v>#N/A</v>
      </c>
      <c r="E6" s="0" t="e">
        <v>#N/A</v>
      </c>
      <c r="F6" s="0" t="e">
        <v>#N/A</v>
      </c>
      <c r="G6" s="0" t="e">
        <v>#N/A</v>
      </c>
      <c r="H6" s="0" t="e">
        <v>#N/A</v>
      </c>
      <c r="I6" s="0" t="e">
        <v>#N/A</v>
      </c>
      <c r="J6" s="0" t="e">
        <v>#N/A</v>
      </c>
      <c r="K6" s="0" t="e">
        <v>#N/A</v>
      </c>
      <c r="L6" s="0" t="e">
        <v>#N/A</v>
      </c>
      <c r="M6" s="0" t="e">
        <v>#N/A</v>
      </c>
      <c r="N6" s="0" t="e">
        <v>#N/A</v>
      </c>
    </row>
    <row r="8" customFormat="false" ht="17.15" hidden="false" customHeight="false" outlineLevel="0" collapsed="false">
      <c r="A8" s="1" t="s">
        <v>22</v>
      </c>
      <c r="B8" s="0" t="s">
        <v>23</v>
      </c>
      <c r="C8" s="0" t="s">
        <v>24</v>
      </c>
      <c r="D8" s="1" t="s">
        <v>25</v>
      </c>
    </row>
    <row r="9" customFormat="false" ht="15" hidden="false" customHeight="false" outlineLevel="0" collapsed="false">
      <c r="A9" s="1" t="s">
        <v>1</v>
      </c>
      <c r="B9" s="0" t="n">
        <f aca="false">LINEST!M2</f>
        <v>-0.0262219653828436</v>
      </c>
      <c r="C9" s="0" t="n">
        <v>-0.0262219653827605</v>
      </c>
      <c r="D9" s="0" t="n">
        <f aca="false">B9-C9</f>
        <v>-8.30793767114813E-014</v>
      </c>
    </row>
    <row r="10" customFormat="false" ht="15" hidden="false" customHeight="false" outlineLevel="0" collapsed="false">
      <c r="A10" s="1" t="s">
        <v>8</v>
      </c>
      <c r="B10" s="0" t="n">
        <f aca="false">LINEST!L2</f>
        <v>-0.0170463990243533</v>
      </c>
      <c r="C10" s="0" t="n">
        <v>-0.017046399024359</v>
      </c>
      <c r="D10" s="0" t="n">
        <f aca="false">B10-C10</f>
        <v>5.67601521339611E-015</v>
      </c>
    </row>
    <row r="11" customFormat="false" ht="15" hidden="false" customHeight="false" outlineLevel="0" collapsed="false">
      <c r="A11" s="1" t="s">
        <v>2</v>
      </c>
      <c r="B11" s="0" t="n">
        <f aca="false">LINEST!K2</f>
        <v>0.00272433229454591</v>
      </c>
      <c r="C11" s="0" t="n">
        <v>0.00272433229453684</v>
      </c>
      <c r="D11" s="0" t="n">
        <f aca="false">B11-C11</f>
        <v>9.07130273675172E-015</v>
      </c>
    </row>
    <row r="12" customFormat="false" ht="15" hidden="false" customHeight="false" outlineLevel="0" collapsed="false">
      <c r="A12" s="1" t="s">
        <v>5</v>
      </c>
      <c r="B12" s="0" t="n">
        <f aca="false">LINEST!J2</f>
        <v>0.149452758531685</v>
      </c>
      <c r="C12" s="0" t="n">
        <v>0.149452758531685</v>
      </c>
      <c r="D12" s="0" t="n">
        <f aca="false">B12-C12</f>
        <v>6.66133814775094E-016</v>
      </c>
    </row>
    <row r="13" customFormat="false" ht="15" hidden="false" customHeight="false" outlineLevel="0" collapsed="false">
      <c r="A13" s="1" t="s">
        <v>9</v>
      </c>
      <c r="B13" s="0" t="n">
        <f aca="false">LINEST!I2</f>
        <v>0.170048018925555</v>
      </c>
      <c r="C13" s="0" t="n">
        <v>0.170048018925552</v>
      </c>
      <c r="D13" s="0" t="n">
        <f aca="false">B13-C13</f>
        <v>2.58126853225349E-015</v>
      </c>
    </row>
    <row r="14" customFormat="false" ht="15" hidden="false" customHeight="false" outlineLevel="0" collapsed="false">
      <c r="A14" s="1" t="s">
        <v>10</v>
      </c>
      <c r="B14" s="0" t="n">
        <f aca="false">LINEST!H2</f>
        <v>0.191254156945258</v>
      </c>
      <c r="C14" s="0" t="n">
        <v>0.191254156945258</v>
      </c>
      <c r="D14" s="0" t="n">
        <f aca="false">B14-C14</f>
        <v>0</v>
      </c>
    </row>
    <row r="15" customFormat="false" ht="15" hidden="false" customHeight="false" outlineLevel="0" collapsed="false">
      <c r="A15" s="1" t="s">
        <v>11</v>
      </c>
      <c r="B15" s="0" t="n">
        <f aca="false">LINEST!G2</f>
        <v>0.087672914998329</v>
      </c>
      <c r="C15" s="0" t="n">
        <v>0.087672914998327</v>
      </c>
      <c r="D15" s="0" t="n">
        <f aca="false">B15-C15</f>
        <v>2.0122792321331E-015</v>
      </c>
    </row>
    <row r="16" customFormat="false" ht="15" hidden="false" customHeight="false" outlineLevel="0" collapsed="false">
      <c r="A16" s="1" t="s">
        <v>12</v>
      </c>
      <c r="B16" s="0" t="n">
        <f aca="false">LINEST!F2</f>
        <v>0.0632927279437964</v>
      </c>
      <c r="C16" s="0" t="n">
        <v>0.0632927279437964</v>
      </c>
      <c r="D16" s="0" t="n">
        <f aca="false">B16-C16</f>
        <v>0</v>
      </c>
    </row>
    <row r="17" customFormat="false" ht="15" hidden="false" customHeight="false" outlineLevel="0" collapsed="false">
      <c r="A17" s="1" t="s">
        <v>13</v>
      </c>
      <c r="B17" s="0" t="n">
        <f aca="false">LINEST!E2</f>
        <v>0.143078664215965</v>
      </c>
      <c r="C17" s="0" t="n">
        <v>0.143078664215964</v>
      </c>
      <c r="D17" s="0" t="n">
        <f aca="false">B17-C17</f>
        <v>1.30451205393456E-015</v>
      </c>
    </row>
    <row r="18" customFormat="false" ht="15" hidden="false" customHeight="false" outlineLevel="0" collapsed="false">
      <c r="A18" s="0" t="s">
        <v>14</v>
      </c>
      <c r="B18" s="0" t="n">
        <f aca="false">LINEST!D2</f>
        <v>-0.342826475936716</v>
      </c>
      <c r="C18" s="0" t="n">
        <v>-0.342826475936715</v>
      </c>
      <c r="D18" s="0" t="n">
        <f aca="false">B18-C18</f>
        <v>-1.55431223447522E-015</v>
      </c>
    </row>
    <row r="19" customFormat="false" ht="15" hidden="false" customHeight="false" outlineLevel="0" collapsed="false">
      <c r="A19" s="0" t="s">
        <v>15</v>
      </c>
      <c r="B19" s="0" t="n">
        <f aca="false">LINEST!C2</f>
        <v>-0.264758810206663</v>
      </c>
      <c r="C19" s="0" t="n">
        <v>-0.264758810206659</v>
      </c>
      <c r="D19" s="0" t="n">
        <f aca="false">B19-C19</f>
        <v>-3.66373598126302E-015</v>
      </c>
    </row>
    <row r="20" customFormat="false" ht="15" hidden="false" customHeight="false" outlineLevel="0" collapsed="false">
      <c r="A20" s="0" t="s">
        <v>16</v>
      </c>
      <c r="B20" s="0" t="n">
        <f aca="false">LINEST!B2</f>
        <v>-0.188643284423916</v>
      </c>
      <c r="C20" s="0" t="n">
        <v>-0.188643284423914</v>
      </c>
      <c r="D20" s="0" t="n">
        <f aca="false">B20-C20</f>
        <v>-2.33146835171283E-015</v>
      </c>
    </row>
    <row r="21" customFormat="false" ht="15" hidden="false" customHeight="false" outlineLevel="0" collapsed="false">
      <c r="A21" s="0" t="s">
        <v>17</v>
      </c>
      <c r="B21" s="0" t="n">
        <f aca="false">LINEST!A2</f>
        <v>-0.0894941279493862</v>
      </c>
      <c r="C21" s="0" t="n">
        <v>-0.0894941279493844</v>
      </c>
      <c r="D21" s="0" t="n">
        <f aca="false">B21-C21</f>
        <v>-1.88737914186277E-015</v>
      </c>
    </row>
    <row r="22" customFormat="false" ht="15" hidden="false" customHeight="false" outlineLevel="0" collapsed="false">
      <c r="A22" s="1" t="s">
        <v>26</v>
      </c>
      <c r="B22" s="0" t="n">
        <f aca="false">LINEST!N2</f>
        <v>14.45047808375</v>
      </c>
      <c r="C22" s="0" t="n">
        <v>14.45047808375</v>
      </c>
      <c r="D22" s="0" t="n">
        <f aca="false">B22-C22</f>
        <v>0</v>
      </c>
    </row>
    <row r="23" customFormat="false" ht="17.15" hidden="false" customHeight="false" outlineLevel="0" collapsed="false">
      <c r="A23" s="1" t="s">
        <v>27</v>
      </c>
      <c r="B23" s="0" t="n">
        <f aca="false">LINEST!A4</f>
        <v>0.737693694348984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2026-10-27T13:01:03Z</dcterms:created>
  <dc:creator>openpyxl</dc:creator>
  <dc:description/>
  <dc:language>en-US</dc:language>
  <cp:lastModifiedBy/>
  <dcterms:modified xsi:type="dcterms:W3CDTF">2026-10-27T13:01:03Z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